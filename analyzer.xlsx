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sie\Documents\InclinedPlaneProject\"/>
    </mc:Choice>
  </mc:AlternateContent>
  <xr:revisionPtr revIDLastSave="0" documentId="13_ncr:1_{DA3F9F91-E549-4C13-B40D-BA93598912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utput" sheetId="5" r:id="rId1"/>
    <sheet name="xk(vk0)" sheetId="1" r:id="rId2"/>
  </sheets>
  <definedNames>
    <definedName name="ExternalData_1" localSheetId="0" hidden="1">output!$A$1:$AX$20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G7" i="1" a="1"/>
  <c r="G7" i="1" s="1"/>
  <c r="F7" i="1" a="1"/>
  <c r="F7" i="1" s="1"/>
  <c r="E7" i="1" a="1"/>
  <c r="E7" i="1" s="1"/>
  <c r="D7" i="1" a="1"/>
  <c r="D7" i="1" s="1"/>
  <c r="A7" i="1" a="1"/>
  <c r="A7" i="1" s="1"/>
  <c r="C7" i="1" a="1"/>
  <c r="C7" i="1" s="1"/>
  <c r="B7" i="1" a="1"/>
  <c r="B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B91DC0-171C-45B6-9B99-89EBBEC211B3}" keepAlive="1" name="Zapytanie — output" description="Połączenie z zapytaniem „output” w skoroszycie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<sst xmlns="http://schemas.openxmlformats.org/spreadsheetml/2006/main" count="61" uniqueCount="59">
  <si>
    <t>cycle_number</t>
  </si>
  <si>
    <t>duration1_measured</t>
  </si>
  <si>
    <t>duration2_measured</t>
  </si>
  <si>
    <t>duration_measured</t>
  </si>
  <si>
    <t>start_velocity_x_measured</t>
  </si>
  <si>
    <t>start_velocity_y_measured</t>
  </si>
  <si>
    <t>start_velocity_value_measured</t>
  </si>
  <si>
    <t>end_velocity_x_measured</t>
  </si>
  <si>
    <t>end_velocity_y_measured</t>
  </si>
  <si>
    <t>end_velocity_value_measured</t>
  </si>
  <si>
    <t>reach_x_measured</t>
  </si>
  <si>
    <t>reach_y_measured</t>
  </si>
  <si>
    <t>reach_value_measured</t>
  </si>
  <si>
    <t>duration1_model</t>
  </si>
  <si>
    <t>duration2_model</t>
  </si>
  <si>
    <t>duration_model</t>
  </si>
  <si>
    <t>start_velocity_x_model</t>
  </si>
  <si>
    <t>start_velocity_y_model</t>
  </si>
  <si>
    <t>start_velocity_value_model</t>
  </si>
  <si>
    <t>end_velocity_x_model</t>
  </si>
  <si>
    <t>end_velocity_y_model</t>
  </si>
  <si>
    <t>end_velocity_value_model</t>
  </si>
  <si>
    <t>reach_x_model</t>
  </si>
  <si>
    <t>reach_y_model</t>
  </si>
  <si>
    <t>reach_value_model</t>
  </si>
  <si>
    <t>error_duration1</t>
  </si>
  <si>
    <t>error_rel_duration1</t>
  </si>
  <si>
    <t>error_duration2</t>
  </si>
  <si>
    <t>error_rel_duration2</t>
  </si>
  <si>
    <t>error_duration</t>
  </si>
  <si>
    <t>error_rel_duration</t>
  </si>
  <si>
    <t>error_start_velocity_x</t>
  </si>
  <si>
    <t>error_rel_start_velocity_x</t>
  </si>
  <si>
    <t>error_start_velocity_y</t>
  </si>
  <si>
    <t>error_rel_start_velocity_y</t>
  </si>
  <si>
    <t>error_start_velocity_value</t>
  </si>
  <si>
    <t>error_rel_start_velocity_value</t>
  </si>
  <si>
    <t>error_end_velocity_x</t>
  </si>
  <si>
    <t>error_rel_end_velocity_x</t>
  </si>
  <si>
    <t>error_end_velocity_y</t>
  </si>
  <si>
    <t>error_rel_end_velocity_y</t>
  </si>
  <si>
    <t>error_end_velocity_value</t>
  </si>
  <si>
    <t>error_rel_end_velocity_value</t>
  </si>
  <si>
    <t>error_reach_x</t>
  </si>
  <si>
    <t>error_rel_reach_x</t>
  </si>
  <si>
    <t>error_reach_y</t>
  </si>
  <si>
    <t>error_rel_reach_y</t>
  </si>
  <si>
    <t>error_reach_value</t>
  </si>
  <si>
    <t>error_rel_reach_value</t>
  </si>
  <si>
    <t>is_full</t>
  </si>
  <si>
    <t>k</t>
  </si>
  <si>
    <t>N. cyklu</t>
  </si>
  <si>
    <t>Model</t>
  </si>
  <si>
    <t>Symulacja</t>
  </si>
  <si>
    <t>Błędy względne</t>
  </si>
  <si>
    <r>
      <t>v</t>
    </r>
    <r>
      <rPr>
        <b/>
        <vertAlign val="subscript"/>
        <sz val="11"/>
        <color theme="1"/>
        <rFont val="Calibri"/>
        <family val="2"/>
        <charset val="238"/>
        <scheme val="minor"/>
      </rPr>
      <t>k0</t>
    </r>
    <r>
      <rPr>
        <b/>
        <sz val="11"/>
        <color theme="1"/>
        <rFont val="Calibri"/>
        <family val="2"/>
        <charset val="238"/>
        <scheme val="minor"/>
      </rPr>
      <t xml:space="preserve"> [m/s]</t>
    </r>
  </si>
  <si>
    <r>
      <t>x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  <r>
      <rPr>
        <b/>
        <sz val="11"/>
        <color theme="1"/>
        <rFont val="Calibri"/>
        <family val="2"/>
        <charset val="238"/>
        <scheme val="minor"/>
      </rPr>
      <t xml:space="preserve"> [m]</t>
    </r>
  </si>
  <si>
    <r>
      <t>δx</t>
    </r>
    <r>
      <rPr>
        <b/>
        <vertAlign val="subscript"/>
        <sz val="11"/>
        <color theme="1"/>
        <rFont val="Calibri"/>
        <family val="2"/>
        <charset val="238"/>
        <scheme val="minor"/>
      </rPr>
      <t>k</t>
    </r>
  </si>
  <si>
    <r>
      <t>δv</t>
    </r>
    <r>
      <rPr>
        <b/>
        <vertAlign val="subscript"/>
        <sz val="11"/>
        <color theme="1"/>
        <rFont val="Calibri"/>
        <family val="2"/>
        <charset val="238"/>
        <scheme val="minor"/>
      </rPr>
      <t>k0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</si>
</sst>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22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x</a:t>
            </a:r>
            <a:r>
              <a:rPr lang="pl-PL" sz="1400" b="1" i="0" u="none" strike="noStrike" baseline="-25000">
                <a:effectLst/>
              </a:rPr>
              <a:t>k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/>
              <a:t>nałożenie</a:t>
            </a:r>
            <a:r>
              <a:rPr lang="pl-PL" baseline="0"/>
              <a:t> danych symulowanych i modelowych</a:t>
            </a:r>
            <a:endParaRPr lang="pl-PL"/>
          </a:p>
        </c:rich>
      </c:tx>
      <c:layout>
        <c:manualLayout>
          <c:xMode val="edge"/>
          <c:yMode val="edge"/>
          <c:x val="0.22824735693085091"/>
          <c:y val="4.0464224359406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Symulacja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'xk(vk0)'!$C$7:$C$117</c:f>
              <c:numCache>
                <c:formatCode>General</c:formatCode>
                <c:ptCount val="111"/>
                <c:pt idx="0">
                  <c:v>50</c:v>
                </c:pt>
                <c:pt idx="1">
                  <c:v>35.913245759799999</c:v>
                </c:pt>
                <c:pt idx="2">
                  <c:v>25.786273065100001</c:v>
                </c:pt>
                <c:pt idx="3">
                  <c:v>18.4723483412</c:v>
                </c:pt>
                <c:pt idx="4">
                  <c:v>13.315093728200001</c:v>
                </c:pt>
                <c:pt idx="5">
                  <c:v>9.5202498720000008</c:v>
                </c:pt>
                <c:pt idx="6">
                  <c:v>6.8719029669999996</c:v>
                </c:pt>
                <c:pt idx="7">
                  <c:v>4.8759498159000003</c:v>
                </c:pt>
                <c:pt idx="8">
                  <c:v>3.5631940963000002</c:v>
                </c:pt>
                <c:pt idx="9">
                  <c:v>2.5317431736999998</c:v>
                </c:pt>
                <c:pt idx="10">
                  <c:v>1.8753653137999999</c:v>
                </c:pt>
                <c:pt idx="11">
                  <c:v>1.2553329401</c:v>
                </c:pt>
                <c:pt idx="12">
                  <c:v>0.93768265689999997</c:v>
                </c:pt>
                <c:pt idx="13">
                  <c:v>0.72143473579999995</c:v>
                </c:pt>
                <c:pt idx="14">
                  <c:v>0.46884132849999999</c:v>
                </c:pt>
                <c:pt idx="15">
                  <c:v>0.37507306280000002</c:v>
                </c:pt>
                <c:pt idx="16">
                  <c:v>0.26982024110000002</c:v>
                </c:pt>
                <c:pt idx="17">
                  <c:v>0.19327880929999999</c:v>
                </c:pt>
                <c:pt idx="18">
                  <c:v>0.1760519754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xVal>
          <c:yVal>
            <c:numRef>
              <c:f>'xk(vk0)'!$B$7:$B$117</c:f>
              <c:numCache>
                <c:formatCode>General</c:formatCode>
                <c:ptCount val="111"/>
                <c:pt idx="0">
                  <c:v>114.755239429</c:v>
                </c:pt>
                <c:pt idx="1">
                  <c:v>59.477367565400002</c:v>
                </c:pt>
                <c:pt idx="2">
                  <c:v>30.734126414199999</c:v>
                </c:pt>
                <c:pt idx="3">
                  <c:v>15.8094650292</c:v>
                </c:pt>
                <c:pt idx="4">
                  <c:v>8.2567207424000006</c:v>
                </c:pt>
                <c:pt idx="5">
                  <c:v>4.2413206910000003</c:v>
                </c:pt>
                <c:pt idx="6">
                  <c:v>2.2304463552999998</c:v>
                </c:pt>
                <c:pt idx="7">
                  <c:v>1.1312546594999999</c:v>
                </c:pt>
                <c:pt idx="8">
                  <c:v>0.61530153070000004</c:v>
                </c:pt>
                <c:pt idx="9">
                  <c:v>0.31581461100000002</c:v>
                </c:pt>
                <c:pt idx="10">
                  <c:v>0.17920549559999999</c:v>
                </c:pt>
                <c:pt idx="11">
                  <c:v>8.2827521000000001E-2</c:v>
                </c:pt>
                <c:pt idx="12">
                  <c:v>4.78411792E-2</c:v>
                </c:pt>
                <c:pt idx="13">
                  <c:v>2.9916223799999999E-2</c:v>
                </c:pt>
                <c:pt idx="14">
                  <c:v>1.43523538E-2</c:v>
                </c:pt>
                <c:pt idx="15">
                  <c:v>9.4725312000000002E-3</c:v>
                </c:pt>
                <c:pt idx="16">
                  <c:v>5.9641038000000004E-3</c:v>
                </c:pt>
                <c:pt idx="17">
                  <c:v>3.2213134000000001E-3</c:v>
                </c:pt>
                <c:pt idx="18">
                  <c:v>2.9341996E-3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EE4-414A-85D1-ACAEF5368FFB}"/>
            </c:ext>
          </c:extLst>
        </c:ser>
        <c:ser>
          <c:idx val="1"/>
          <c:order val="1"/>
          <c:tx>
            <c:v>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'xk(vk0)'!$E$7:$E$117</c:f>
              <c:numCache>
                <c:formatCode>General</c:formatCode>
                <c:ptCount val="111"/>
                <c:pt idx="0">
                  <c:v>50</c:v>
                </c:pt>
                <c:pt idx="1">
                  <c:v>35.845204354499998</c:v>
                </c:pt>
                <c:pt idx="2">
                  <c:v>25.697573504400001</c:v>
                </c:pt>
                <c:pt idx="3">
                  <c:v>18.422695473600001</c:v>
                </c:pt>
                <c:pt idx="4">
                  <c:v>13.207305680199999</c:v>
                </c:pt>
                <c:pt idx="5">
                  <c:v>9.4683714216000006</c:v>
                </c:pt>
                <c:pt idx="6">
                  <c:v>6.7879141701999997</c:v>
                </c:pt>
                <c:pt idx="7">
                  <c:v>4.8662834115000004</c:v>
                </c:pt>
                <c:pt idx="8">
                  <c:v>3.4886584666</c:v>
                </c:pt>
                <c:pt idx="9">
                  <c:v>2.5010335131999999</c:v>
                </c:pt>
                <c:pt idx="10">
                  <c:v>1.7930011476000001</c:v>
                </c:pt>
                <c:pt idx="11">
                  <c:v>1.2854098509</c:v>
                </c:pt>
                <c:pt idx="12">
                  <c:v>0.92151557569999998</c:v>
                </c:pt>
                <c:pt idx="13">
                  <c:v>0.66063828250000001</c:v>
                </c:pt>
                <c:pt idx="14">
                  <c:v>0.47361428490000002</c:v>
                </c:pt>
                <c:pt idx="15">
                  <c:v>0.33953601649999998</c:v>
                </c:pt>
                <c:pt idx="16">
                  <c:v>0.24341475800000001</c:v>
                </c:pt>
                <c:pt idx="17">
                  <c:v>0.17450503479999999</c:v>
                </c:pt>
                <c:pt idx="18">
                  <c:v>0.12510337269999999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xVal>
          <c:yVal>
            <c:numRef>
              <c:f>'xk(vk0)'!$D$7:$D$117</c:f>
              <c:numCache>
                <c:formatCode>General</c:formatCode>
                <c:ptCount val="111"/>
                <c:pt idx="0">
                  <c:v>114.6261797551</c:v>
                </c:pt>
                <c:pt idx="1">
                  <c:v>58.912293595500003</c:v>
                </c:pt>
                <c:pt idx="2">
                  <c:v>30.278059899799999</c:v>
                </c:pt>
                <c:pt idx="3">
                  <c:v>15.561453396899999</c:v>
                </c:pt>
                <c:pt idx="4">
                  <c:v>7.9978318499999999</c:v>
                </c:pt>
                <c:pt idx="5">
                  <c:v>4.1104974368000002</c:v>
                </c:pt>
                <c:pt idx="6">
                  <c:v>2.1125962004000001</c:v>
                </c:pt>
                <c:pt idx="7">
                  <c:v>1.085771923</c:v>
                </c:pt>
                <c:pt idx="8">
                  <c:v>0.55803407589999998</c:v>
                </c:pt>
                <c:pt idx="9">
                  <c:v>0.28680243370000003</c:v>
                </c:pt>
                <c:pt idx="10">
                  <c:v>0.14740253240000001</c:v>
                </c:pt>
                <c:pt idx="11">
                  <c:v>7.5757748200000002E-2</c:v>
                </c:pt>
                <c:pt idx="12">
                  <c:v>3.8935806099999998E-2</c:v>
                </c:pt>
                <c:pt idx="13">
                  <c:v>2.00111148E-2</c:v>
                </c:pt>
                <c:pt idx="14">
                  <c:v>1.02847419E-2</c:v>
                </c:pt>
                <c:pt idx="15">
                  <c:v>5.2858582000000001E-3</c:v>
                </c:pt>
                <c:pt idx="16">
                  <c:v>2.7166744999999998E-3</c:v>
                </c:pt>
                <c:pt idx="17">
                  <c:v>1.3962389E-3</c:v>
                </c:pt>
                <c:pt idx="18">
                  <c:v>7.1759910000000001E-4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EE4-414A-85D1-ACAEF536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02559"/>
        <c:axId val="2029109279"/>
      </c:scatterChart>
      <c:valAx>
        <c:axId val="202910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9279"/>
        <c:crosses val="autoZero"/>
        <c:crossBetween val="midCat"/>
      </c:valAx>
      <c:valAx>
        <c:axId val="20291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2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Błędy</a:t>
            </a:r>
            <a:r>
              <a:rPr lang="pl-PL" baseline="0"/>
              <a:t> pomiarowe względne w każdym cyklu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'xk(vk0)'!$F$6</c:f>
              <c:strCache>
                <c:ptCount val="1"/>
                <c:pt idx="0">
                  <c:v>δxk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'xk(vk0)'!$F$7:$F$25</c:f>
              <c:numCache>
                <c:formatCode>0.00%</c:formatCode>
                <c:ptCount val="19"/>
                <c:pt idx="0">
                  <c:v>1.1246517E-3</c:v>
                </c:pt>
                <c:pt idx="1">
                  <c:v>9.5006553000000007E-3</c:v>
                </c:pt>
                <c:pt idx="2">
                  <c:v>1.48390915E-2</c:v>
                </c:pt>
                <c:pt idx="3">
                  <c:v>1.5687541100000001E-2</c:v>
                </c:pt>
                <c:pt idx="4">
                  <c:v>3.1354928999999997E-2</c:v>
                </c:pt>
                <c:pt idx="5">
                  <c:v>3.08449334E-2</c:v>
                </c:pt>
                <c:pt idx="6">
                  <c:v>5.2837027299999999E-2</c:v>
                </c:pt>
                <c:pt idx="7">
                  <c:v>4.0205568300000001E-2</c:v>
                </c:pt>
                <c:pt idx="8">
                  <c:v>9.3072180000000004E-2</c:v>
                </c:pt>
                <c:pt idx="9">
                  <c:v>9.1864582200000003E-2</c:v>
                </c:pt>
                <c:pt idx="10">
                  <c:v>0.1774664504</c:v>
                </c:pt>
                <c:pt idx="11">
                  <c:v>8.53553591E-2</c:v>
                </c:pt>
                <c:pt idx="12">
                  <c:v>0.18614451500000001</c:v>
                </c:pt>
                <c:pt idx="13">
                  <c:v>0.3310948957</c:v>
                </c:pt>
                <c:pt idx="14">
                  <c:v>0.28341078800000002</c:v>
                </c:pt>
                <c:pt idx="15">
                  <c:v>0.44198038639999998</c:v>
                </c:pt>
                <c:pt idx="16">
                  <c:v>0.54449577149999995</c:v>
                </c:pt>
                <c:pt idx="17">
                  <c:v>0.56656222889999996</c:v>
                </c:pt>
                <c:pt idx="18">
                  <c:v>0.75543616729999996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4-432A-BE36-5754E284F633}"/>
            </c:ext>
          </c:extLst>
        </c:ser>
        <c:ser>
          <c:idx val="1"/>
          <c:order val="1"/>
          <c:tx>
            <c:strRef>
              <c:f>'xk(vk0)'!$G$6</c:f>
              <c:strCache>
                <c:ptCount val="1"/>
                <c:pt idx="0">
                  <c:v>δvk0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'xk(vk0)'!$G$7:$G$25</c:f>
              <c:numCache>
                <c:formatCode>0.00%</c:formatCode>
                <c:ptCount val="19"/>
                <c:pt idx="0">
                  <c:v>0</c:v>
                </c:pt>
                <c:pt idx="1">
                  <c:v>1.8946047000000001E-3</c:v>
                </c:pt>
                <c:pt idx="2">
                  <c:v>3.4397975999999999E-3</c:v>
                </c:pt>
                <c:pt idx="3">
                  <c:v>2.6879564000000002E-3</c:v>
                </c:pt>
                <c:pt idx="4">
                  <c:v>8.0951775999999996E-3</c:v>
                </c:pt>
                <c:pt idx="5">
                  <c:v>5.4492739999999996E-3</c:v>
                </c:pt>
                <c:pt idx="6">
                  <c:v>1.2222057999999999E-2</c:v>
                </c:pt>
                <c:pt idx="7">
                  <c:v>1.9824659E-3</c:v>
                </c:pt>
                <c:pt idx="8">
                  <c:v>2.09182064E-2</c:v>
                </c:pt>
                <c:pt idx="9">
                  <c:v>1.21298482E-2</c:v>
                </c:pt>
                <c:pt idx="10">
                  <c:v>4.3918998399999999E-2</c:v>
                </c:pt>
                <c:pt idx="11">
                  <c:v>2.3959309799999998E-2</c:v>
                </c:pt>
                <c:pt idx="12">
                  <c:v>1.7241527400000001E-2</c:v>
                </c:pt>
                <c:pt idx="13">
                  <c:v>8.4271591399999998E-2</c:v>
                </c:pt>
                <c:pt idx="14">
                  <c:v>1.01803235E-2</c:v>
                </c:pt>
                <c:pt idx="15">
                  <c:v>9.4746996900000005E-2</c:v>
                </c:pt>
                <c:pt idx="16">
                  <c:v>9.7863240300000001E-2</c:v>
                </c:pt>
                <c:pt idx="17">
                  <c:v>9.7133123700000004E-2</c:v>
                </c:pt>
                <c:pt idx="18">
                  <c:v>0.28939523449999999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4-432A-BE36-5754E284F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103519"/>
        <c:axId val="2029119359"/>
      </c:barChart>
      <c:catAx>
        <c:axId val="202910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Cykl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19359"/>
        <c:crosses val="autoZero"/>
        <c:auto val="1"/>
        <c:lblAlgn val="ctr"/>
        <c:lblOffset val="100"/>
        <c:noMultiLvlLbl val="0"/>
      </c:catAx>
      <c:valAx>
        <c:axId val="202911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pl-PL"/>
                  <a:t>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910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x</a:t>
            </a:r>
            <a:r>
              <a:rPr lang="pl-PL" sz="1400" b="1" i="0" u="none" strike="noStrike" baseline="-25000">
                <a:effectLst/>
              </a:rPr>
              <a:t>k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/>
              <a:t>symulowane</a:t>
            </a:r>
            <a:r>
              <a:rPr lang="pl-PL" baseline="0"/>
              <a:t> wraz z krzywą najlepszego dopasowania</a:t>
            </a:r>
            <a:endParaRPr lang="pl-PL"/>
          </a:p>
        </c:rich>
      </c:tx>
      <c:layout>
        <c:manualLayout>
          <c:xMode val="edge"/>
          <c:yMode val="edge"/>
          <c:x val="0.2043333333333333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7035658957308988"/>
                  <c:y val="-0.200767307251252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'xk(vk0)'!$C$7:$C$117</c:f>
              <c:numCache>
                <c:formatCode>General</c:formatCode>
                <c:ptCount val="111"/>
                <c:pt idx="0">
                  <c:v>50</c:v>
                </c:pt>
                <c:pt idx="1">
                  <c:v>35.913245759799999</c:v>
                </c:pt>
                <c:pt idx="2">
                  <c:v>25.786273065100001</c:v>
                </c:pt>
                <c:pt idx="3">
                  <c:v>18.4723483412</c:v>
                </c:pt>
                <c:pt idx="4">
                  <c:v>13.315093728200001</c:v>
                </c:pt>
                <c:pt idx="5">
                  <c:v>9.5202498720000008</c:v>
                </c:pt>
                <c:pt idx="6">
                  <c:v>6.8719029669999996</c:v>
                </c:pt>
                <c:pt idx="7">
                  <c:v>4.8759498159000003</c:v>
                </c:pt>
                <c:pt idx="8">
                  <c:v>3.5631940963000002</c:v>
                </c:pt>
                <c:pt idx="9">
                  <c:v>2.5317431736999998</c:v>
                </c:pt>
                <c:pt idx="10">
                  <c:v>1.8753653137999999</c:v>
                </c:pt>
                <c:pt idx="11">
                  <c:v>1.2553329401</c:v>
                </c:pt>
                <c:pt idx="12">
                  <c:v>0.93768265689999997</c:v>
                </c:pt>
                <c:pt idx="13">
                  <c:v>0.72143473579999995</c:v>
                </c:pt>
                <c:pt idx="14">
                  <c:v>0.46884132849999999</c:v>
                </c:pt>
                <c:pt idx="15">
                  <c:v>0.37507306280000002</c:v>
                </c:pt>
                <c:pt idx="16">
                  <c:v>0.26982024110000002</c:v>
                </c:pt>
                <c:pt idx="17">
                  <c:v>0.19327880929999999</c:v>
                </c:pt>
                <c:pt idx="18">
                  <c:v>0.1760519754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xVal>
          <c:yVal>
            <c:numRef>
              <c:f>'xk(vk0)'!$B$7:$B$117</c:f>
              <c:numCache>
                <c:formatCode>General</c:formatCode>
                <c:ptCount val="111"/>
                <c:pt idx="0">
                  <c:v>114.755239429</c:v>
                </c:pt>
                <c:pt idx="1">
                  <c:v>59.477367565400002</c:v>
                </c:pt>
                <c:pt idx="2">
                  <c:v>30.734126414199999</c:v>
                </c:pt>
                <c:pt idx="3">
                  <c:v>15.8094650292</c:v>
                </c:pt>
                <c:pt idx="4">
                  <c:v>8.2567207424000006</c:v>
                </c:pt>
                <c:pt idx="5">
                  <c:v>4.2413206910000003</c:v>
                </c:pt>
                <c:pt idx="6">
                  <c:v>2.2304463552999998</c:v>
                </c:pt>
                <c:pt idx="7">
                  <c:v>1.1312546594999999</c:v>
                </c:pt>
                <c:pt idx="8">
                  <c:v>0.61530153070000004</c:v>
                </c:pt>
                <c:pt idx="9">
                  <c:v>0.31581461100000002</c:v>
                </c:pt>
                <c:pt idx="10">
                  <c:v>0.17920549559999999</c:v>
                </c:pt>
                <c:pt idx="11">
                  <c:v>8.2827521000000001E-2</c:v>
                </c:pt>
                <c:pt idx="12">
                  <c:v>4.78411792E-2</c:v>
                </c:pt>
                <c:pt idx="13">
                  <c:v>2.9916223799999999E-2</c:v>
                </c:pt>
                <c:pt idx="14">
                  <c:v>1.43523538E-2</c:v>
                </c:pt>
                <c:pt idx="15">
                  <c:v>9.4725312000000002E-3</c:v>
                </c:pt>
                <c:pt idx="16">
                  <c:v>5.9641038000000004E-3</c:v>
                </c:pt>
                <c:pt idx="17">
                  <c:v>3.2213134000000001E-3</c:v>
                </c:pt>
                <c:pt idx="18">
                  <c:v>2.9341996E-3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3C-48C0-B795-30EB93AE4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53744"/>
        <c:axId val="430154704"/>
      </c:scatterChart>
      <c:valAx>
        <c:axId val="4301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4704"/>
        <c:crosses val="autoZero"/>
        <c:crossBetween val="midCat"/>
      </c:valAx>
      <c:valAx>
        <c:axId val="430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x</a:t>
            </a:r>
            <a:r>
              <a:rPr lang="pl-PL" sz="1400" b="1" i="0" u="none" strike="noStrike" baseline="-25000">
                <a:effectLst/>
              </a:rPr>
              <a:t>k</a:t>
            </a:r>
            <a:r>
              <a:rPr lang="pl-PL" sz="1400" b="1" i="0" u="none" strike="noStrike" baseline="0">
                <a:effectLst/>
              </a:rPr>
              <a:t>(v</a:t>
            </a:r>
            <a:r>
              <a:rPr lang="pl-PL" sz="1400" b="1" i="0" u="none" strike="noStrike" baseline="-25000">
                <a:effectLst/>
              </a:rPr>
              <a:t>k0</a:t>
            </a:r>
            <a:r>
              <a:rPr lang="pl-PL" sz="1400" b="1" i="0" u="none" strike="noStrike" baseline="0">
                <a:effectLst/>
              </a:rPr>
              <a:t>)</a:t>
            </a:r>
            <a:r>
              <a:rPr lang="pl-PL" sz="1400" b="0" i="0" u="none" strike="noStrike" baseline="0">
                <a:effectLst/>
              </a:rPr>
              <a:t> </a:t>
            </a: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modelowe wraz z krzywą najlepszego dopasowania</a:t>
            </a:r>
          </a:p>
        </c:rich>
      </c:tx>
      <c:layout>
        <c:manualLayout>
          <c:xMode val="edge"/>
          <c:yMode val="edge"/>
          <c:x val="0.30690092728160073"/>
          <c:y val="4.2145593869731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4288575567878317"/>
                  <c:y val="-0.20065013425046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'xk(vk0)'!$E$7:$E$117</c:f>
              <c:numCache>
                <c:formatCode>General</c:formatCode>
                <c:ptCount val="111"/>
                <c:pt idx="0">
                  <c:v>50</c:v>
                </c:pt>
                <c:pt idx="1">
                  <c:v>35.845204354499998</c:v>
                </c:pt>
                <c:pt idx="2">
                  <c:v>25.697573504400001</c:v>
                </c:pt>
                <c:pt idx="3">
                  <c:v>18.422695473600001</c:v>
                </c:pt>
                <c:pt idx="4">
                  <c:v>13.207305680199999</c:v>
                </c:pt>
                <c:pt idx="5">
                  <c:v>9.4683714216000006</c:v>
                </c:pt>
                <c:pt idx="6">
                  <c:v>6.7879141701999997</c:v>
                </c:pt>
                <c:pt idx="7">
                  <c:v>4.8662834115000004</c:v>
                </c:pt>
                <c:pt idx="8">
                  <c:v>3.4886584666</c:v>
                </c:pt>
                <c:pt idx="9">
                  <c:v>2.5010335131999999</c:v>
                </c:pt>
                <c:pt idx="10">
                  <c:v>1.7930011476000001</c:v>
                </c:pt>
                <c:pt idx="11">
                  <c:v>1.2854098509</c:v>
                </c:pt>
                <c:pt idx="12">
                  <c:v>0.92151557569999998</c:v>
                </c:pt>
                <c:pt idx="13">
                  <c:v>0.66063828250000001</c:v>
                </c:pt>
                <c:pt idx="14">
                  <c:v>0.47361428490000002</c:v>
                </c:pt>
                <c:pt idx="15">
                  <c:v>0.33953601649999998</c:v>
                </c:pt>
                <c:pt idx="16">
                  <c:v>0.24341475800000001</c:v>
                </c:pt>
                <c:pt idx="17">
                  <c:v>0.17450503479999999</c:v>
                </c:pt>
                <c:pt idx="18">
                  <c:v>0.12510337269999999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xVal>
          <c:yVal>
            <c:numRef>
              <c:f>'xk(vk0)'!$D$7:$D$117</c:f>
              <c:numCache>
                <c:formatCode>General</c:formatCode>
                <c:ptCount val="111"/>
                <c:pt idx="0">
                  <c:v>114.6261797551</c:v>
                </c:pt>
                <c:pt idx="1">
                  <c:v>58.912293595500003</c:v>
                </c:pt>
                <c:pt idx="2">
                  <c:v>30.278059899799999</c:v>
                </c:pt>
                <c:pt idx="3">
                  <c:v>15.561453396899999</c:v>
                </c:pt>
                <c:pt idx="4">
                  <c:v>7.9978318499999999</c:v>
                </c:pt>
                <c:pt idx="5">
                  <c:v>4.1104974368000002</c:v>
                </c:pt>
                <c:pt idx="6">
                  <c:v>2.1125962004000001</c:v>
                </c:pt>
                <c:pt idx="7">
                  <c:v>1.085771923</c:v>
                </c:pt>
                <c:pt idx="8">
                  <c:v>0.55803407589999998</c:v>
                </c:pt>
                <c:pt idx="9">
                  <c:v>0.28680243370000003</c:v>
                </c:pt>
                <c:pt idx="10">
                  <c:v>0.14740253240000001</c:v>
                </c:pt>
                <c:pt idx="11">
                  <c:v>7.5757748200000002E-2</c:v>
                </c:pt>
                <c:pt idx="12">
                  <c:v>3.8935806099999998E-2</c:v>
                </c:pt>
                <c:pt idx="13">
                  <c:v>2.00111148E-2</c:v>
                </c:pt>
                <c:pt idx="14">
                  <c:v>1.02847419E-2</c:v>
                </c:pt>
                <c:pt idx="15">
                  <c:v>5.2858582000000001E-3</c:v>
                </c:pt>
                <c:pt idx="16">
                  <c:v>2.7166744999999998E-3</c:v>
                </c:pt>
                <c:pt idx="17">
                  <c:v>1.3962389E-3</c:v>
                </c:pt>
                <c:pt idx="18">
                  <c:v>7.1759910000000001E-4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E7-4256-88A9-45FEDDFF5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53744"/>
        <c:axId val="430154704"/>
      </c:scatterChart>
      <c:valAx>
        <c:axId val="4301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x</a:t>
                </a:r>
                <a:r>
                  <a:rPr lang="pl-PL" sz="1000" b="1" i="0" u="none" strike="noStrike" baseline="-25000">
                    <a:effectLst/>
                  </a:rPr>
                  <a:t>k</a:t>
                </a:r>
                <a:r>
                  <a:rPr lang="pl-PL" sz="1000" b="1" i="0" u="none" strike="noStrike" baseline="0">
                    <a:effectLst/>
                  </a:rPr>
                  <a:t> [m]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4704"/>
        <c:crosses val="autoZero"/>
        <c:crossBetween val="midCat"/>
      </c:valAx>
      <c:valAx>
        <c:axId val="4301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1" i="0" u="none" strike="noStrike" baseline="0">
                    <a:effectLst/>
                  </a:rPr>
                  <a:t>v</a:t>
                </a:r>
                <a:r>
                  <a:rPr lang="pl-PL" sz="1000" b="1" i="0" u="none" strike="noStrike" baseline="-25000">
                    <a:effectLst/>
                  </a:rPr>
                  <a:t>k0</a:t>
                </a:r>
                <a:r>
                  <a:rPr lang="pl-PL" sz="1000" b="1" i="0" u="none" strike="noStrike" baseline="0">
                    <a:effectLst/>
                  </a:rPr>
                  <a:t> [m/s]</a:t>
                </a:r>
                <a:r>
                  <a:rPr lang="pl-PL" sz="1000" b="0" i="0" u="none" strike="noStrike" baseline="0">
                    <a:effectLst/>
                  </a:rPr>
                  <a:t> </a:t>
                </a:r>
                <a:endParaRPr lang="pl-PL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1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142874</xdr:colOff>
      <xdr:row>0</xdr:row>
      <xdr:rowOff>128587</xdr:rowOff>
    </xdr:from>
    <xdr:ext cx="2789542" cy="5437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5ED91542-73C9-D7FA-3C8A-A00ED99A277E}"/>
                </a:ext>
              </a:extLst>
            </xdr:cNvPr>
            <xdr:cNvSpPr txBox="1"/>
          </xdr:nvSpPr>
          <xdr:spPr>
            <a:xfrm>
              <a:off x="142874" y="128587"/>
              <a:ext cx="2789542" cy="5437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6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l-PL" sz="1600" b="0" i="1">
                            <a:latin typeface="Cambria Math" panose="02040503050406030204" pitchFamily="18" charset="0"/>
                          </a:rPr>
                          <m:t>𝑘</m:t>
                        </m:r>
                      </m:sub>
                    </m:sSub>
                    <m:d>
                      <m:d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pl-PL" sz="1600" b="0" i="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600" b="0" i="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l-PL" sz="1600" b="0" i="0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pl-PL" sz="1600" b="0" i="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pl-PL" sz="16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pl-PL" sz="1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pl-PL" sz="160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pl-PL" sz="16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  <m:r>
                              <a:rPr lang="pl-PL" sz="1600" i="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pl-PL" sz="16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pl-PL" sz="1600" i="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pl-PL" sz="1600" i="1">
                            <a:latin typeface="Cambria Math" panose="02040503050406030204" pitchFamily="18" charset="0"/>
                          </a:rPr>
                          <m:t>𝑔</m:t>
                        </m:r>
                        <m:d>
                          <m:dPr>
                            <m:ctrlPr>
                              <a:rPr lang="pl-PL" sz="16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pl-PL" sz="16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60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r>
                                  <a:rPr lang="pl-PL" sz="16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  <m:r>
                              <a:rPr lang="pl-PL" sz="16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pl-PL" sz="160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  <m:func>
                              <m:funcPr>
                                <m:ctrlPr>
                                  <a:rPr lang="pl-PL" sz="16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600" i="0">
                                    <a:latin typeface="Cambria Math" panose="02040503050406030204" pitchFamily="18" charset="0"/>
                                  </a:rPr>
                                  <m:t>cos</m:t>
                                </m:r>
                              </m:fName>
                              <m:e>
                                <m:r>
                                  <a:rPr lang="pl-PL" sz="1600" i="1">
                                    <a:latin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func>
                          </m:e>
                        </m:d>
                      </m:den>
                    </m:f>
                  </m:oMath>
                </m:oMathPara>
              </a14:m>
              <a:endParaRPr lang="pl-PL" sz="1600"/>
            </a:p>
          </xdr:txBody>
        </xdr:sp>
      </mc:Choice>
      <mc:Fallback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5ED91542-73C9-D7FA-3C8A-A00ED99A277E}"/>
                </a:ext>
              </a:extLst>
            </xdr:cNvPr>
            <xdr:cNvSpPr txBox="1"/>
          </xdr:nvSpPr>
          <xdr:spPr>
            <a:xfrm>
              <a:off x="142874" y="128587"/>
              <a:ext cx="2789542" cy="5437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l-PL" sz="1600" i="0">
                  <a:latin typeface="Cambria Math" panose="02040503050406030204" pitchFamily="18" charset="0"/>
                </a:rPr>
                <a:t>𝑥</a:t>
              </a:r>
              <a:r>
                <a:rPr lang="pl-PL" sz="1600" b="0" i="0">
                  <a:latin typeface="Cambria Math" panose="02040503050406030204" pitchFamily="18" charset="0"/>
                </a:rPr>
                <a:t>_𝑘 (𝑣_𝑘0 )</a:t>
              </a:r>
              <a:r>
                <a:rPr lang="pl-PL" sz="1600" i="0">
                  <a:latin typeface="Cambria Math" panose="02040503050406030204" pitchFamily="18" charset="0"/>
                </a:rPr>
                <a:t>=</a:t>
              </a:r>
              <a:r>
                <a:rPr lang="pl-PL" sz="1600" b="0" i="0">
                  <a:latin typeface="Cambria Math" panose="02040503050406030204" pitchFamily="18" charset="0"/>
                </a:rPr>
                <a:t>(</a:t>
              </a:r>
              <a:r>
                <a:rPr lang="pl-PL" sz="1600" i="0">
                  <a:latin typeface="Cambria Math" panose="02040503050406030204" pitchFamily="18" charset="0"/>
                </a:rPr>
                <a:t>𝑣</a:t>
              </a:r>
              <a:r>
                <a:rPr lang="pl-PL" sz="1600" b="0" i="0">
                  <a:latin typeface="Cambria Math" panose="02040503050406030204" pitchFamily="18" charset="0"/>
                </a:rPr>
                <a:t>_</a:t>
              </a:r>
              <a:r>
                <a:rPr lang="pl-PL" sz="1600" i="0">
                  <a:latin typeface="Cambria Math" panose="02040503050406030204" pitchFamily="18" charset="0"/>
                </a:rPr>
                <a:t>𝑘0^2</a:t>
              </a:r>
              <a:r>
                <a:rPr lang="pl-PL" sz="1600" b="0" i="0">
                  <a:latin typeface="Cambria Math" panose="02040503050406030204" pitchFamily="18" charset="0"/>
                </a:rPr>
                <a:t>)/</a:t>
              </a:r>
              <a:r>
                <a:rPr lang="pl-PL" sz="1600" i="0">
                  <a:latin typeface="Cambria Math" panose="02040503050406030204" pitchFamily="18" charset="0"/>
                </a:rPr>
                <a:t>2𝑔(sin⁡𝜃+𝜇 cos⁡𝜃 ) </a:t>
              </a:r>
              <a:endParaRPr lang="pl-PL" sz="1600"/>
            </a:p>
          </xdr:txBody>
        </xdr:sp>
      </mc:Fallback>
    </mc:AlternateContent>
    <xdr:clientData/>
  </xdr:oneCellAnchor>
  <xdr:twoCellAnchor>
    <xdr:from>
      <xdr:col>7</xdr:col>
      <xdr:colOff>533400</xdr:colOff>
      <xdr:row>0</xdr:row>
      <xdr:rowOff>138112</xdr:rowOff>
    </xdr:from>
    <xdr:to>
      <xdr:col>17</xdr:col>
      <xdr:colOff>552450</xdr:colOff>
      <xdr:row>16</xdr:row>
      <xdr:rowOff>104775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4A473B1-9337-2C4B-E674-25DFFD525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190498</xdr:colOff>
      <xdr:row>0</xdr:row>
      <xdr:rowOff>138111</xdr:rowOff>
    </xdr:from>
    <xdr:to>
      <xdr:col>31</xdr:col>
      <xdr:colOff>35943</xdr:colOff>
      <xdr:row>22</xdr:row>
      <xdr:rowOff>35944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F274ECC0-6D2E-E859-6902-3848BFF57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545814</xdr:colOff>
      <xdr:row>17</xdr:row>
      <xdr:rowOff>0</xdr:rowOff>
    </xdr:from>
    <xdr:to>
      <xdr:col>17</xdr:col>
      <xdr:colOff>577921</xdr:colOff>
      <xdr:row>34</xdr:row>
      <xdr:rowOff>139129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88B40A1-4B67-B8D2-7E1F-A78E1DFCB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543673</xdr:colOff>
      <xdr:row>35</xdr:row>
      <xdr:rowOff>49980</xdr:rowOff>
    </xdr:from>
    <xdr:to>
      <xdr:col>18</xdr:col>
      <xdr:colOff>21404</xdr:colOff>
      <xdr:row>53</xdr:row>
      <xdr:rowOff>53511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8F4C56D-D4D2-4FA8-A27F-595077EC8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5C0E9B-5222-4049-BFF8-891714A37A86}" autoFormatId="16" applyNumberFormats="0" applyBorderFormats="0" applyFontFormats="0" applyPatternFormats="0" applyAlignmentFormats="0" applyWidthHeightFormats="0">
  <queryTableRefresh nextId="51">
    <queryTableFields count="50">
      <queryTableField id="1" name="cycle_number" tableColumnId="1"/>
      <queryTableField id="2" name="duration1_measured" tableColumnId="2"/>
      <queryTableField id="3" name="duration2_measured" tableColumnId="3"/>
      <queryTableField id="4" name="duration_measured" tableColumnId="4"/>
      <queryTableField id="5" name="start_velocity_x_measured" tableColumnId="5"/>
      <queryTableField id="6" name="start_velocity_y_measured" tableColumnId="6"/>
      <queryTableField id="7" name="start_velocity_value_measured" tableColumnId="7"/>
      <queryTableField id="8" name="end_velocity_x_measured" tableColumnId="8"/>
      <queryTableField id="9" name="end_velocity_y_measured" tableColumnId="9"/>
      <queryTableField id="10" name="end_velocity_value_measured" tableColumnId="10"/>
      <queryTableField id="11" name="reach_x_measured" tableColumnId="11"/>
      <queryTableField id="12" name="reach_y_measured" tableColumnId="12"/>
      <queryTableField id="13" name="reach_value_measured" tableColumnId="13"/>
      <queryTableField id="14" name="duration1_model" tableColumnId="14"/>
      <queryTableField id="15" name="duration2_model" tableColumnId="15"/>
      <queryTableField id="16" name="duration_model" tableColumnId="16"/>
      <queryTableField id="17" name="start_velocity_x_model" tableColumnId="17"/>
      <queryTableField id="18" name="start_velocity_y_model" tableColumnId="18"/>
      <queryTableField id="19" name="start_velocity_value_model" tableColumnId="19"/>
      <queryTableField id="20" name="end_velocity_x_model" tableColumnId="20"/>
      <queryTableField id="21" name="end_velocity_y_model" tableColumnId="21"/>
      <queryTableField id="22" name="end_velocity_value_model" tableColumnId="22"/>
      <queryTableField id="23" name="reach_x_model" tableColumnId="23"/>
      <queryTableField id="24" name="reach_y_model" tableColumnId="24"/>
      <queryTableField id="25" name="reach_value_model" tableColumnId="25"/>
      <queryTableField id="26" name="error_duration1" tableColumnId="26"/>
      <queryTableField id="27" name="error_rel_duration1" tableColumnId="27"/>
      <queryTableField id="28" name="error_duration2" tableColumnId="28"/>
      <queryTableField id="29" name="error_rel_duration2" tableColumnId="29"/>
      <queryTableField id="30" name="error_duration" tableColumnId="30"/>
      <queryTableField id="31" name="error_rel_duration" tableColumnId="31"/>
      <queryTableField id="32" name="error_start_velocity_x" tableColumnId="32"/>
      <queryTableField id="33" name="error_rel_start_velocity_x" tableColumnId="33"/>
      <queryTableField id="34" name="error_start_velocity_y" tableColumnId="34"/>
      <queryTableField id="35" name="error_rel_start_velocity_y" tableColumnId="35"/>
      <queryTableField id="36" name="error_start_velocity_value" tableColumnId="36"/>
      <queryTableField id="37" name="error_rel_start_velocity_value" tableColumnId="37"/>
      <queryTableField id="38" name="error_end_velocity_x" tableColumnId="38"/>
      <queryTableField id="39" name="error_rel_end_velocity_x" tableColumnId="39"/>
      <queryTableField id="40" name="error_end_velocity_y" tableColumnId="40"/>
      <queryTableField id="41" name="error_rel_end_velocity_y" tableColumnId="41"/>
      <queryTableField id="42" name="error_end_velocity_value" tableColumnId="42"/>
      <queryTableField id="43" name="error_rel_end_velocity_value" tableColumnId="43"/>
      <queryTableField id="44" name="error_reach_x" tableColumnId="44"/>
      <queryTableField id="45" name="error_rel_reach_x" tableColumnId="45"/>
      <queryTableField id="46" name="error_reach_y" tableColumnId="46"/>
      <queryTableField id="47" name="error_rel_reach_y" tableColumnId="47"/>
      <queryTableField id="48" name="error_reach_value" tableColumnId="48"/>
      <queryTableField id="49" name="error_rel_reach_value" tableColumnId="49"/>
      <queryTableField id="50" name="is_full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4C060-AEBC-484A-8C6D-2E1BAD9BE47C}" name="output" displayName="output" ref="A1:AX20" tableType="queryTable" totalsRowShown="0">
  <autoFilter ref="A1:AX20" xr:uid="{4294C060-AEBC-484A-8C6D-2E1BAD9BE47C}"/>
  <tableColumns count="50">
    <tableColumn id="1" xr3:uid="{9912146E-1D0B-443C-B307-3EE7F5FEDB18}" uniqueName="1" name="cycle_number" queryTableFieldId="1"/>
    <tableColumn id="2" xr3:uid="{2BE4B6D9-2CAF-4F33-8485-796302B5F88A}" uniqueName="2" name="duration1_measured" queryTableFieldId="2"/>
    <tableColumn id="3" xr3:uid="{0FA5204A-FA72-4B21-BE50-67240BFD535D}" uniqueName="3" name="duration2_measured" queryTableFieldId="3"/>
    <tableColumn id="4" xr3:uid="{80E6ED17-17D6-4E6B-8F8B-244EE76BE164}" uniqueName="4" name="duration_measured" queryTableFieldId="4"/>
    <tableColumn id="5" xr3:uid="{1423D8D5-DD4C-4E40-87EC-AB0D5FC83F33}" uniqueName="5" name="start_velocity_x_measured" queryTableFieldId="5"/>
    <tableColumn id="6" xr3:uid="{724BF224-1ECF-44D6-9AEE-ADEB909524CA}" uniqueName="6" name="start_velocity_y_measured" queryTableFieldId="6"/>
    <tableColumn id="7" xr3:uid="{257B79B1-7BF3-40D5-BE7D-9159421B31CF}" uniqueName="7" name="start_velocity_value_measured" queryTableFieldId="7"/>
    <tableColumn id="8" xr3:uid="{B0C81947-A7B7-43B6-A833-E9AB130BFF94}" uniqueName="8" name="end_velocity_x_measured" queryTableFieldId="8"/>
    <tableColumn id="9" xr3:uid="{B65E52D5-3161-451B-BB00-7309FD09C84C}" uniqueName="9" name="end_velocity_y_measured" queryTableFieldId="9"/>
    <tableColumn id="10" xr3:uid="{8E734A53-524D-41A5-96DF-6D087975B3EB}" uniqueName="10" name="end_velocity_value_measured" queryTableFieldId="10"/>
    <tableColumn id="11" xr3:uid="{2EFD066B-45A9-4896-ABF5-98477840882A}" uniqueName="11" name="reach_x_measured" queryTableFieldId="11"/>
    <tableColumn id="12" xr3:uid="{212D6AE1-32CB-4163-AD78-04BA295735BC}" uniqueName="12" name="reach_y_measured" queryTableFieldId="12"/>
    <tableColumn id="13" xr3:uid="{259838C0-530E-4DEE-A051-3DBBA739E778}" uniqueName="13" name="reach_value_measured" queryTableFieldId="13"/>
    <tableColumn id="14" xr3:uid="{32B42B93-2CA4-4060-8024-5EF91DE64A87}" uniqueName="14" name="duration1_model" queryTableFieldId="14"/>
    <tableColumn id="15" xr3:uid="{857042F2-4E5F-4BED-8F0C-F1CAA2E1DBFF}" uniqueName="15" name="duration2_model" queryTableFieldId="15"/>
    <tableColumn id="16" xr3:uid="{68335965-9226-4C05-A524-B280F5874072}" uniqueName="16" name="duration_model" queryTableFieldId="16"/>
    <tableColumn id="17" xr3:uid="{ACD388BB-478A-4C2A-88B0-E9A149DD3FEA}" uniqueName="17" name="start_velocity_x_model" queryTableFieldId="17"/>
    <tableColumn id="18" xr3:uid="{BF9FD69E-6725-428A-B5E2-679F7D429E07}" uniqueName="18" name="start_velocity_y_model" queryTableFieldId="18"/>
    <tableColumn id="19" xr3:uid="{DA666E84-9E00-40F6-9287-F43BEF8DDBAF}" uniqueName="19" name="start_velocity_value_model" queryTableFieldId="19"/>
    <tableColumn id="20" xr3:uid="{5960593D-988C-405B-9790-2C1161A134EF}" uniqueName="20" name="end_velocity_x_model" queryTableFieldId="20"/>
    <tableColumn id="21" xr3:uid="{3D7D7569-E651-4595-BC0D-368FC2B3AB17}" uniqueName="21" name="end_velocity_y_model" queryTableFieldId="21"/>
    <tableColumn id="22" xr3:uid="{5D335060-EAC6-4D57-87BA-38A5C8F4EA7F}" uniqueName="22" name="end_velocity_value_model" queryTableFieldId="22"/>
    <tableColumn id="23" xr3:uid="{BAF87BE3-5396-4DCB-BF74-E073E45FFA8C}" uniqueName="23" name="reach_x_model" queryTableFieldId="23"/>
    <tableColumn id="24" xr3:uid="{18EDA2AC-DE82-4E66-9713-91CA1E98975D}" uniqueName="24" name="reach_y_model" queryTableFieldId="24"/>
    <tableColumn id="25" xr3:uid="{57EE21BB-E95B-4DD8-BCE0-77E034D7399A}" uniqueName="25" name="reach_value_model" queryTableFieldId="25"/>
    <tableColumn id="26" xr3:uid="{BE924A4D-1A06-48F8-89BA-AFA3188C05D4}" uniqueName="26" name="error_duration1" queryTableFieldId="26"/>
    <tableColumn id="27" xr3:uid="{E7BB18ED-DA6A-4347-BB27-E11848DD8F50}" uniqueName="27" name="error_rel_duration1" queryTableFieldId="27"/>
    <tableColumn id="28" xr3:uid="{978D8F2D-5D8D-4BFC-9B58-4F95CFCC0D1F}" uniqueName="28" name="error_duration2" queryTableFieldId="28"/>
    <tableColumn id="29" xr3:uid="{5A5AB420-B8A6-428C-AB7F-BA377246AC81}" uniqueName="29" name="error_rel_duration2" queryTableFieldId="29"/>
    <tableColumn id="30" xr3:uid="{7B3B7314-1E5C-410B-97CD-243E4DA56E8A}" uniqueName="30" name="error_duration" queryTableFieldId="30"/>
    <tableColumn id="31" xr3:uid="{1869499F-240E-4C81-8A85-01D83238F572}" uniqueName="31" name="error_rel_duration" queryTableFieldId="31"/>
    <tableColumn id="32" xr3:uid="{835E4F9E-83B5-43F2-B0FB-1AF9C83D39CE}" uniqueName="32" name="error_start_velocity_x" queryTableFieldId="32"/>
    <tableColumn id="33" xr3:uid="{A1E2CF27-585F-4172-9188-BEA96F375117}" uniqueName="33" name="error_rel_start_velocity_x" queryTableFieldId="33"/>
    <tableColumn id="34" xr3:uid="{32C666C4-B863-49C2-91D5-9A501FF23ACB}" uniqueName="34" name="error_start_velocity_y" queryTableFieldId="34"/>
    <tableColumn id="35" xr3:uid="{7748181F-F252-4BBC-8D4B-FED4858B4CCB}" uniqueName="35" name="error_rel_start_velocity_y" queryTableFieldId="35"/>
    <tableColumn id="36" xr3:uid="{38F81EB6-D085-4669-A433-703D5BA0B3C3}" uniqueName="36" name="error_start_velocity_value" queryTableFieldId="36"/>
    <tableColumn id="37" xr3:uid="{5ADB9362-CD40-4A0C-B272-D53156C48245}" uniqueName="37" name="error_rel_start_velocity_value" queryTableFieldId="37"/>
    <tableColumn id="38" xr3:uid="{01D0B11D-D2B6-4A38-9E40-3846D8DEF5B8}" uniqueName="38" name="error_end_velocity_x" queryTableFieldId="38"/>
    <tableColumn id="39" xr3:uid="{98ADAAE3-4713-4F35-A3E9-5BEF96C89958}" uniqueName="39" name="error_rel_end_velocity_x" queryTableFieldId="39"/>
    <tableColumn id="40" xr3:uid="{F8C3BFF4-7630-4BDD-8094-D5CB330300E7}" uniqueName="40" name="error_end_velocity_y" queryTableFieldId="40"/>
    <tableColumn id="41" xr3:uid="{8244EB8C-6373-41B2-9CF0-91490264EB56}" uniqueName="41" name="error_rel_end_velocity_y" queryTableFieldId="41"/>
    <tableColumn id="42" xr3:uid="{1DC446B6-D64D-4E2D-8CC2-1F1736BC9489}" uniqueName="42" name="error_end_velocity_value" queryTableFieldId="42"/>
    <tableColumn id="43" xr3:uid="{A207D1DA-C704-4F6C-9831-F6EFDA9B2608}" uniqueName="43" name="error_rel_end_velocity_value" queryTableFieldId="43"/>
    <tableColumn id="44" xr3:uid="{6674C2D3-FF3B-40AE-9CD5-D7E892C6C9ED}" uniqueName="44" name="error_reach_x" queryTableFieldId="44"/>
    <tableColumn id="45" xr3:uid="{0260CB95-5562-4478-BF34-7FC521FBDCA3}" uniqueName="45" name="error_rel_reach_x" queryTableFieldId="45"/>
    <tableColumn id="46" xr3:uid="{639102D4-8CE8-499F-A490-70E5805CE059}" uniqueName="46" name="error_reach_y" queryTableFieldId="46"/>
    <tableColumn id="47" xr3:uid="{CAB17238-EA98-4A76-AAFD-7F0DA9ECD04A}" uniqueName="47" name="error_rel_reach_y" queryTableFieldId="47"/>
    <tableColumn id="48" xr3:uid="{E673794E-23B9-4FD4-97C2-2F4FA57DA5CC}" uniqueName="48" name="error_reach_value" queryTableFieldId="48"/>
    <tableColumn id="49" xr3:uid="{E98E5040-5052-42C4-BA28-5CDB9CDBCB94}" uniqueName="49" name="error_rel_reach_value" queryTableFieldId="49"/>
    <tableColumn id="50" xr3:uid="{53FDB657-DBF3-4693-A38D-988FB24D0EE8}" uniqueName="50" name="is_full" queryTableFieldId="5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C5EC-EE7E-4A19-A8E1-887C94D4D72D}">
  <dimension ref="A1:AX20"/>
  <sheetViews>
    <sheetView workbookViewId="0">
      <selection activeCell="F28" sqref="F28"/>
    </sheetView>
  </sheetViews>
  <sheetFormatPr defaultRowHeight="15" x14ac:dyDescent="0.25"/>
  <cols>
    <col min="1" max="1" width="15.85546875" bestFit="1" customWidth="1"/>
    <col min="2" max="3" width="22" bestFit="1" customWidth="1"/>
    <col min="4" max="4" width="21" bestFit="1" customWidth="1"/>
    <col min="5" max="6" width="27.5703125" bestFit="1" customWidth="1"/>
    <col min="7" max="7" width="31.5703125" bestFit="1" customWidth="1"/>
    <col min="8" max="9" width="27" bestFit="1" customWidth="1"/>
    <col min="10" max="10" width="31" bestFit="1" customWidth="1"/>
    <col min="11" max="12" width="20.28515625" bestFit="1" customWidth="1"/>
    <col min="13" max="13" width="24.28515625" bestFit="1" customWidth="1"/>
    <col min="14" max="15" width="18.7109375" bestFit="1" customWidth="1"/>
    <col min="16" max="16" width="17.7109375" bestFit="1" customWidth="1"/>
    <col min="17" max="18" width="24.42578125" bestFit="1" customWidth="1"/>
    <col min="19" max="19" width="28.42578125" bestFit="1" customWidth="1"/>
    <col min="20" max="21" width="23.85546875" bestFit="1" customWidth="1"/>
    <col min="22" max="22" width="27.85546875" bestFit="1" customWidth="1"/>
    <col min="23" max="24" width="17" bestFit="1" customWidth="1"/>
    <col min="25" max="25" width="21" bestFit="1" customWidth="1"/>
    <col min="26" max="26" width="17.42578125" bestFit="1" customWidth="1"/>
    <col min="27" max="27" width="21" bestFit="1" customWidth="1"/>
    <col min="28" max="28" width="17.42578125" bestFit="1" customWidth="1"/>
    <col min="29" max="29" width="21" bestFit="1" customWidth="1"/>
    <col min="30" max="30" width="16.42578125" bestFit="1" customWidth="1"/>
    <col min="31" max="31" width="20" bestFit="1" customWidth="1"/>
    <col min="32" max="32" width="23" bestFit="1" customWidth="1"/>
    <col min="33" max="33" width="26.5703125" bestFit="1" customWidth="1"/>
    <col min="34" max="34" width="23" bestFit="1" customWidth="1"/>
    <col min="35" max="35" width="26.5703125" bestFit="1" customWidth="1"/>
    <col min="36" max="36" width="27" bestFit="1" customWidth="1"/>
    <col min="37" max="37" width="30.5703125" bestFit="1" customWidth="1"/>
    <col min="38" max="38" width="22.42578125" bestFit="1" customWidth="1"/>
    <col min="39" max="39" width="26" bestFit="1" customWidth="1"/>
    <col min="40" max="40" width="22.42578125" bestFit="1" customWidth="1"/>
    <col min="41" max="41" width="26" bestFit="1" customWidth="1"/>
    <col min="42" max="42" width="26.42578125" bestFit="1" customWidth="1"/>
    <col min="43" max="43" width="30" bestFit="1" customWidth="1"/>
    <col min="44" max="44" width="15.7109375" bestFit="1" customWidth="1"/>
    <col min="45" max="45" width="19.140625" bestFit="1" customWidth="1"/>
    <col min="46" max="46" width="15.7109375" bestFit="1" customWidth="1"/>
    <col min="47" max="47" width="19.140625" bestFit="1" customWidth="1"/>
    <col min="48" max="48" width="19.7109375" bestFit="1" customWidth="1"/>
    <col min="49" max="49" width="23.140625" bestFit="1" customWidth="1"/>
    <col min="50" max="50" width="9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0</v>
      </c>
      <c r="B2">
        <v>4.5299999713999997</v>
      </c>
      <c r="C2">
        <v>6.3500001430999999</v>
      </c>
      <c r="D2">
        <v>10.8800001145</v>
      </c>
      <c r="E2">
        <v>27.015115293400001</v>
      </c>
      <c r="F2">
        <v>42.073549240399998</v>
      </c>
      <c r="G2">
        <v>50</v>
      </c>
      <c r="H2">
        <v>-19.335161654499998</v>
      </c>
      <c r="I2">
        <v>-30.26405037</v>
      </c>
      <c r="J2">
        <v>35.913245759799999</v>
      </c>
      <c r="K2">
        <v>61.440633462500003</v>
      </c>
      <c r="L2">
        <v>96.921687645899993</v>
      </c>
      <c r="M2">
        <v>114.755239429</v>
      </c>
      <c r="N2">
        <v>4.5850471902000001</v>
      </c>
      <c r="O2">
        <v>6.3956214963000004</v>
      </c>
      <c r="P2">
        <v>10.9806686865</v>
      </c>
      <c r="Q2">
        <v>27.015115293400001</v>
      </c>
      <c r="R2">
        <v>42.073549240399998</v>
      </c>
      <c r="S2">
        <v>50</v>
      </c>
      <c r="T2">
        <v>-19.3672465671</v>
      </c>
      <c r="U2">
        <v>-30.162699408800002</v>
      </c>
      <c r="V2">
        <v>35.845204354499998</v>
      </c>
      <c r="W2">
        <v>61.932789234600001</v>
      </c>
      <c r="X2">
        <v>96.454604363300007</v>
      </c>
      <c r="Y2">
        <v>114.6261797551</v>
      </c>
      <c r="Z2">
        <v>5.5047218799999999E-2</v>
      </c>
      <c r="AA2">
        <v>1.2151703999999999E-2</v>
      </c>
      <c r="AB2">
        <v>4.5621353199999999E-2</v>
      </c>
      <c r="AC2">
        <v>7.1844648999999997E-3</v>
      </c>
      <c r="AD2">
        <v>0.100668572</v>
      </c>
      <c r="AE2">
        <v>9.2526259999999999E-3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3.2084912600000001E-2</v>
      </c>
      <c r="AM2">
        <v>-1.6594075000000001E-3</v>
      </c>
      <c r="AN2">
        <v>0.10135096120000001</v>
      </c>
      <c r="AO2">
        <v>-3.3488895E-3</v>
      </c>
      <c r="AP2">
        <v>6.8041405299999996E-2</v>
      </c>
      <c r="AQ2">
        <v>1.8946047000000001E-3</v>
      </c>
      <c r="AR2">
        <v>0.4921557721</v>
      </c>
      <c r="AS2">
        <v>8.0102652999999996E-3</v>
      </c>
      <c r="AT2">
        <v>0.46708328259999998</v>
      </c>
      <c r="AU2">
        <v>4.8191822999999996E-3</v>
      </c>
      <c r="AV2">
        <v>0.1290596739</v>
      </c>
      <c r="AW2">
        <v>1.1246517E-3</v>
      </c>
      <c r="AX2" t="b">
        <v>1</v>
      </c>
    </row>
    <row r="3" spans="1:50" x14ac:dyDescent="0.25">
      <c r="A3">
        <v>1</v>
      </c>
      <c r="B3">
        <v>3.2799999714000001</v>
      </c>
      <c r="C3">
        <v>4.5699999332000001</v>
      </c>
      <c r="D3">
        <v>7.8499999045999997</v>
      </c>
      <c r="E3">
        <v>19.335161654499998</v>
      </c>
      <c r="F3">
        <v>30.26405037</v>
      </c>
      <c r="G3">
        <v>35.913245759799999</v>
      </c>
      <c r="H3">
        <v>-13.882948968599999</v>
      </c>
      <c r="I3">
        <v>-21.7300622761</v>
      </c>
      <c r="J3">
        <v>25.786273065100001</v>
      </c>
      <c r="K3">
        <v>32.021737170500003</v>
      </c>
      <c r="L3">
        <v>50.121508368100002</v>
      </c>
      <c r="M3">
        <v>59.477367565400002</v>
      </c>
      <c r="N3">
        <v>3.2870390702000001</v>
      </c>
      <c r="O3">
        <v>4.5850471902000001</v>
      </c>
      <c r="P3">
        <v>7.8720862603999997</v>
      </c>
      <c r="Q3">
        <v>19.3672465671</v>
      </c>
      <c r="R3">
        <v>30.162699408800002</v>
      </c>
      <c r="S3">
        <v>35.845204354499998</v>
      </c>
      <c r="T3">
        <v>-13.884458219600001</v>
      </c>
      <c r="U3">
        <v>-21.623762483899998</v>
      </c>
      <c r="V3">
        <v>25.697573504400001</v>
      </c>
      <c r="W3">
        <v>31.830448073700001</v>
      </c>
      <c r="X3">
        <v>49.572985709100003</v>
      </c>
      <c r="Y3">
        <v>58.912293595500003</v>
      </c>
      <c r="Z3">
        <v>7.0390988E-3</v>
      </c>
      <c r="AA3">
        <v>2.1460667000000001E-3</v>
      </c>
      <c r="AB3">
        <v>1.5047257E-2</v>
      </c>
      <c r="AC3">
        <v>3.2926165000000001E-3</v>
      </c>
      <c r="AD3">
        <v>2.2086355799999999E-2</v>
      </c>
      <c r="AE3">
        <v>2.8135485000000001E-3</v>
      </c>
      <c r="AF3">
        <v>3.2084912600000001E-2</v>
      </c>
      <c r="AG3">
        <v>1.6594075000000001E-3</v>
      </c>
      <c r="AH3">
        <v>0.10135096120000001</v>
      </c>
      <c r="AI3">
        <v>3.3488895E-3</v>
      </c>
      <c r="AJ3">
        <v>6.8041405299999996E-2</v>
      </c>
      <c r="AK3">
        <v>1.8946047000000001E-3</v>
      </c>
      <c r="AL3">
        <v>1.5092510000000001E-3</v>
      </c>
      <c r="AM3">
        <v>-1.087126E-4</v>
      </c>
      <c r="AN3">
        <v>0.10629979220000001</v>
      </c>
      <c r="AO3">
        <v>-4.8918310000000001E-3</v>
      </c>
      <c r="AP3">
        <v>8.8699560699999999E-2</v>
      </c>
      <c r="AQ3">
        <v>3.4397975999999999E-3</v>
      </c>
      <c r="AR3">
        <v>0.1912890968</v>
      </c>
      <c r="AS3">
        <v>5.9737263999999997E-3</v>
      </c>
      <c r="AT3">
        <v>0.54852265899999997</v>
      </c>
      <c r="AU3">
        <v>1.09438578E-2</v>
      </c>
      <c r="AV3">
        <v>0.56507396990000003</v>
      </c>
      <c r="AW3">
        <v>9.5006553000000007E-3</v>
      </c>
      <c r="AX3" t="b">
        <v>1</v>
      </c>
    </row>
    <row r="4" spans="1:50" x14ac:dyDescent="0.25">
      <c r="A4">
        <v>2</v>
      </c>
      <c r="B4">
        <v>2.3700001240000002</v>
      </c>
      <c r="C4">
        <v>3.2899999619</v>
      </c>
      <c r="D4">
        <v>5.6600000859000001</v>
      </c>
      <c r="E4">
        <v>13.882948968599999</v>
      </c>
      <c r="F4">
        <v>21.7300622761</v>
      </c>
      <c r="G4">
        <v>25.786273065100001</v>
      </c>
      <c r="H4">
        <v>-9.9452398066000001</v>
      </c>
      <c r="I4">
        <v>-15.5666264305</v>
      </c>
      <c r="J4">
        <v>18.4723483412</v>
      </c>
      <c r="K4">
        <v>16.546800211299999</v>
      </c>
      <c r="L4">
        <v>25.899612530100001</v>
      </c>
      <c r="M4">
        <v>30.734126414199999</v>
      </c>
      <c r="N4">
        <v>2.3564917437999999</v>
      </c>
      <c r="O4">
        <v>3.2870390702000001</v>
      </c>
      <c r="P4">
        <v>5.643530814</v>
      </c>
      <c r="Q4">
        <v>13.884458219600001</v>
      </c>
      <c r="R4">
        <v>21.623762483899998</v>
      </c>
      <c r="S4">
        <v>25.697573504400001</v>
      </c>
      <c r="T4">
        <v>-9.9538248446999997</v>
      </c>
      <c r="U4">
        <v>-15.502163703000001</v>
      </c>
      <c r="V4">
        <v>18.422695473600001</v>
      </c>
      <c r="W4">
        <v>16.359305581099999</v>
      </c>
      <c r="X4">
        <v>25.478108881899999</v>
      </c>
      <c r="Y4">
        <v>30.278059899799999</v>
      </c>
      <c r="Z4">
        <v>1.35083802E-2</v>
      </c>
      <c r="AA4">
        <v>5.6997382000000003E-3</v>
      </c>
      <c r="AB4">
        <v>2.9608917E-3</v>
      </c>
      <c r="AC4">
        <v>8.9996710000000003E-4</v>
      </c>
      <c r="AD4">
        <v>1.6469271899999999E-2</v>
      </c>
      <c r="AE4">
        <v>2.9097653E-3</v>
      </c>
      <c r="AF4">
        <v>1.5092510000000001E-3</v>
      </c>
      <c r="AG4">
        <v>1.087126E-4</v>
      </c>
      <c r="AH4">
        <v>0.10629979220000001</v>
      </c>
      <c r="AI4">
        <v>4.8918310000000001E-3</v>
      </c>
      <c r="AJ4">
        <v>8.8699560699999999E-2</v>
      </c>
      <c r="AK4">
        <v>3.4397975999999999E-3</v>
      </c>
      <c r="AL4">
        <v>8.5850380999999993E-3</v>
      </c>
      <c r="AM4">
        <v>-8.6323089999999997E-4</v>
      </c>
      <c r="AN4">
        <v>6.4462727499999997E-2</v>
      </c>
      <c r="AO4">
        <v>-4.1410852999999997E-3</v>
      </c>
      <c r="AP4">
        <v>4.9652867599999997E-2</v>
      </c>
      <c r="AQ4">
        <v>2.6879564000000002E-3</v>
      </c>
      <c r="AR4">
        <v>0.18749463020000001</v>
      </c>
      <c r="AS4">
        <v>1.1331171500000001E-2</v>
      </c>
      <c r="AT4">
        <v>0.42150364820000003</v>
      </c>
      <c r="AU4">
        <v>1.6274515600000001E-2</v>
      </c>
      <c r="AV4">
        <v>0.45606651440000001</v>
      </c>
      <c r="AW4">
        <v>1.48390915E-2</v>
      </c>
      <c r="AX4" t="b">
        <v>1</v>
      </c>
    </row>
    <row r="5" spans="1:50" x14ac:dyDescent="0.25">
      <c r="A5">
        <v>3</v>
      </c>
      <c r="B5">
        <v>1.7000000476999999</v>
      </c>
      <c r="C5">
        <v>2.3799998759999998</v>
      </c>
      <c r="D5">
        <v>4.0799999237</v>
      </c>
      <c r="E5">
        <v>9.9452398066000001</v>
      </c>
      <c r="F5">
        <v>15.5666264305</v>
      </c>
      <c r="G5">
        <v>18.4723483412</v>
      </c>
      <c r="H5">
        <v>-7.1686500128999997</v>
      </c>
      <c r="I5">
        <v>-11.220613975299999</v>
      </c>
      <c r="J5">
        <v>13.315093728200001</v>
      </c>
      <c r="K5">
        <v>8.5115827194999998</v>
      </c>
      <c r="L5">
        <v>13.3226177652</v>
      </c>
      <c r="M5">
        <v>15.8094650292</v>
      </c>
      <c r="N5">
        <v>1.6893785622999999</v>
      </c>
      <c r="O5">
        <v>2.3564917437999999</v>
      </c>
      <c r="P5">
        <v>4.0458703061000003</v>
      </c>
      <c r="Q5">
        <v>9.9538248446999997</v>
      </c>
      <c r="R5">
        <v>15.502163703000001</v>
      </c>
      <c r="S5">
        <v>18.422695473600001</v>
      </c>
      <c r="T5">
        <v>-7.1359377132999997</v>
      </c>
      <c r="U5">
        <v>-11.1135645174</v>
      </c>
      <c r="V5">
        <v>13.207305680199999</v>
      </c>
      <c r="W5">
        <v>8.4078891529999993</v>
      </c>
      <c r="X5">
        <v>13.094511514900001</v>
      </c>
      <c r="Y5">
        <v>15.561453396899999</v>
      </c>
      <c r="Z5">
        <v>1.06214854E-2</v>
      </c>
      <c r="AA5">
        <v>6.2479323999999996E-3</v>
      </c>
      <c r="AB5">
        <v>2.35081322E-2</v>
      </c>
      <c r="AC5">
        <v>9.8773669999999997E-3</v>
      </c>
      <c r="AD5">
        <v>3.4129617600000002E-2</v>
      </c>
      <c r="AE5">
        <v>8.3651025000000007E-3</v>
      </c>
      <c r="AF5">
        <v>8.5850380999999993E-3</v>
      </c>
      <c r="AG5">
        <v>8.6323089999999997E-4</v>
      </c>
      <c r="AH5">
        <v>6.4462727499999997E-2</v>
      </c>
      <c r="AI5">
        <v>4.1410852999999997E-3</v>
      </c>
      <c r="AJ5">
        <v>4.9652867599999997E-2</v>
      </c>
      <c r="AK5">
        <v>2.6879564000000002E-3</v>
      </c>
      <c r="AL5">
        <v>3.2712299600000001E-2</v>
      </c>
      <c r="AM5">
        <v>-4.5632440999999998E-3</v>
      </c>
      <c r="AN5">
        <v>0.10704945790000001</v>
      </c>
      <c r="AO5">
        <v>-9.5404277999999992E-3</v>
      </c>
      <c r="AP5">
        <v>0.107788048</v>
      </c>
      <c r="AQ5">
        <v>8.0951775999999996E-3</v>
      </c>
      <c r="AR5">
        <v>0.1036935665</v>
      </c>
      <c r="AS5">
        <v>1.21826422E-2</v>
      </c>
      <c r="AT5">
        <v>0.22810625030000001</v>
      </c>
      <c r="AU5">
        <v>1.7121728999999999E-2</v>
      </c>
      <c r="AV5">
        <v>0.24801163230000001</v>
      </c>
      <c r="AW5">
        <v>1.5687541100000001E-2</v>
      </c>
      <c r="AX5" t="b">
        <v>1</v>
      </c>
    </row>
    <row r="6" spans="1:50" x14ac:dyDescent="0.25">
      <c r="A6">
        <v>4</v>
      </c>
      <c r="B6">
        <v>1.2100000381</v>
      </c>
      <c r="C6">
        <v>1.7200000285999999</v>
      </c>
      <c r="D6">
        <v>2.9300000666999999</v>
      </c>
      <c r="E6">
        <v>7.1686500128999997</v>
      </c>
      <c r="F6">
        <v>11.220613975299999</v>
      </c>
      <c r="G6">
        <v>13.315093728200001</v>
      </c>
      <c r="H6">
        <v>-5.1255620696999999</v>
      </c>
      <c r="I6">
        <v>-8.0227034779000004</v>
      </c>
      <c r="J6">
        <v>9.5202498720000008</v>
      </c>
      <c r="K6">
        <v>4.4452966284000004</v>
      </c>
      <c r="L6">
        <v>6.9579289521999996</v>
      </c>
      <c r="M6">
        <v>8.2567207424000006</v>
      </c>
      <c r="N6">
        <v>1.2111223959999999</v>
      </c>
      <c r="O6">
        <v>1.6893785622999999</v>
      </c>
      <c r="P6">
        <v>2.9005009582999999</v>
      </c>
      <c r="Q6">
        <v>7.1359377132999997</v>
      </c>
      <c r="R6">
        <v>11.1135645174</v>
      </c>
      <c r="S6">
        <v>13.207305680199999</v>
      </c>
      <c r="T6">
        <v>-5.1157829119000002</v>
      </c>
      <c r="U6">
        <v>-7.9673598246999999</v>
      </c>
      <c r="V6">
        <v>9.4683714216000006</v>
      </c>
      <c r="W6">
        <v>4.3212469904999997</v>
      </c>
      <c r="X6">
        <v>6.7299434430999998</v>
      </c>
      <c r="Y6">
        <v>7.9978318499999999</v>
      </c>
      <c r="Z6">
        <v>1.1223578999999999E-3</v>
      </c>
      <c r="AA6">
        <v>9.2756849999999999E-4</v>
      </c>
      <c r="AB6">
        <v>3.06214663E-2</v>
      </c>
      <c r="AC6">
        <v>1.78031778E-2</v>
      </c>
      <c r="AD6">
        <v>2.9499108400000001E-2</v>
      </c>
      <c r="AE6">
        <v>1.00679549E-2</v>
      </c>
      <c r="AF6">
        <v>3.2712299600000001E-2</v>
      </c>
      <c r="AG6">
        <v>4.5632440999999998E-3</v>
      </c>
      <c r="AH6">
        <v>0.10704945790000001</v>
      </c>
      <c r="AI6">
        <v>9.5404277999999992E-3</v>
      </c>
      <c r="AJ6">
        <v>0.107788048</v>
      </c>
      <c r="AK6">
        <v>8.0951775999999996E-3</v>
      </c>
      <c r="AL6">
        <v>9.7791578000000004E-3</v>
      </c>
      <c r="AM6">
        <v>-1.9079190999999999E-3</v>
      </c>
      <c r="AN6">
        <v>5.5343653200000002E-2</v>
      </c>
      <c r="AO6">
        <v>-6.8983795000000002E-3</v>
      </c>
      <c r="AP6">
        <v>5.1878450399999998E-2</v>
      </c>
      <c r="AQ6">
        <v>5.4492739999999996E-3</v>
      </c>
      <c r="AR6">
        <v>0.1240496379</v>
      </c>
      <c r="AS6">
        <v>2.79058178E-2</v>
      </c>
      <c r="AT6">
        <v>0.22798550910000001</v>
      </c>
      <c r="AU6">
        <v>3.27662887E-2</v>
      </c>
      <c r="AV6">
        <v>0.25888889240000001</v>
      </c>
      <c r="AW6">
        <v>3.1354928999999997E-2</v>
      </c>
      <c r="AX6" t="b">
        <v>1</v>
      </c>
    </row>
    <row r="7" spans="1:50" x14ac:dyDescent="0.25">
      <c r="A7">
        <v>5</v>
      </c>
      <c r="B7">
        <v>0.88999986649999996</v>
      </c>
      <c r="C7">
        <v>1.2200000285999999</v>
      </c>
      <c r="D7">
        <v>2.1099998951000001</v>
      </c>
      <c r="E7">
        <v>5.1255620696999999</v>
      </c>
      <c r="F7">
        <v>8.0227034779000004</v>
      </c>
      <c r="G7">
        <v>9.5202498720000008</v>
      </c>
      <c r="H7">
        <v>-3.6997311697000002</v>
      </c>
      <c r="I7">
        <v>-5.7909446258999999</v>
      </c>
      <c r="J7">
        <v>6.8719029669999996</v>
      </c>
      <c r="K7">
        <v>2.2834644837</v>
      </c>
      <c r="L7">
        <v>3.5741560059999999</v>
      </c>
      <c r="M7">
        <v>4.2413206910000003</v>
      </c>
      <c r="N7">
        <v>0.86825859559999996</v>
      </c>
      <c r="O7">
        <v>1.2111223959999999</v>
      </c>
      <c r="P7">
        <v>2.0793809915999999</v>
      </c>
      <c r="Q7">
        <v>5.1157829119000002</v>
      </c>
      <c r="R7">
        <v>7.9673598246999999</v>
      </c>
      <c r="S7">
        <v>9.4683714216000006</v>
      </c>
      <c r="T7">
        <v>-3.6675256782000001</v>
      </c>
      <c r="U7">
        <v>-5.7118328215999998</v>
      </c>
      <c r="V7">
        <v>6.7879141701999997</v>
      </c>
      <c r="W7">
        <v>2.2209112433999998</v>
      </c>
      <c r="X7">
        <v>3.4588643262000001</v>
      </c>
      <c r="Y7">
        <v>4.1104974368000002</v>
      </c>
      <c r="Z7">
        <v>2.1741270900000002E-2</v>
      </c>
      <c r="AA7">
        <v>2.4428397899999999E-2</v>
      </c>
      <c r="AB7">
        <v>8.8776325999999992E-3</v>
      </c>
      <c r="AC7">
        <v>7.2767478999999999E-3</v>
      </c>
      <c r="AD7">
        <v>3.0618903499999999E-2</v>
      </c>
      <c r="AE7">
        <v>1.45113294E-2</v>
      </c>
      <c r="AF7">
        <v>9.7791578000000004E-3</v>
      </c>
      <c r="AG7">
        <v>1.9079190999999999E-3</v>
      </c>
      <c r="AH7">
        <v>5.5343653200000002E-2</v>
      </c>
      <c r="AI7">
        <v>6.8983795000000002E-3</v>
      </c>
      <c r="AJ7">
        <v>5.1878450399999998E-2</v>
      </c>
      <c r="AK7">
        <v>5.4492739999999996E-3</v>
      </c>
      <c r="AL7">
        <v>3.2205491500000002E-2</v>
      </c>
      <c r="AM7">
        <v>-8.7048193999999992E-3</v>
      </c>
      <c r="AN7">
        <v>7.9111804300000005E-2</v>
      </c>
      <c r="AO7">
        <v>-1.36612952E-2</v>
      </c>
      <c r="AP7">
        <v>8.3988796800000001E-2</v>
      </c>
      <c r="AQ7">
        <v>1.2222057999999999E-2</v>
      </c>
      <c r="AR7">
        <v>6.2553240299999993E-2</v>
      </c>
      <c r="AS7">
        <v>2.7394006200000001E-2</v>
      </c>
      <c r="AT7">
        <v>0.1152916798</v>
      </c>
      <c r="AU7">
        <v>3.2257036199999999E-2</v>
      </c>
      <c r="AV7">
        <v>0.13082325419999999</v>
      </c>
      <c r="AW7">
        <v>3.08449334E-2</v>
      </c>
      <c r="AX7" t="b">
        <v>1</v>
      </c>
    </row>
    <row r="8" spans="1:50" x14ac:dyDescent="0.25">
      <c r="A8">
        <v>6</v>
      </c>
      <c r="B8">
        <v>0.64000010490000003</v>
      </c>
      <c r="C8">
        <v>0.87999987599999996</v>
      </c>
      <c r="D8">
        <v>1.5199999809</v>
      </c>
      <c r="E8">
        <v>3.6997311697000002</v>
      </c>
      <c r="F8">
        <v>5.7909446258999999</v>
      </c>
      <c r="G8">
        <v>6.8719029669999996</v>
      </c>
      <c r="H8">
        <v>-2.6251394413</v>
      </c>
      <c r="I8">
        <v>-4.1089572303999997</v>
      </c>
      <c r="J8">
        <v>4.8759498159000003</v>
      </c>
      <c r="K8">
        <v>1.2008394096999999</v>
      </c>
      <c r="L8">
        <v>1.8795945456000001</v>
      </c>
      <c r="M8">
        <v>2.2304463552999998</v>
      </c>
      <c r="N8">
        <v>0.62245813589999999</v>
      </c>
      <c r="O8">
        <v>0.86825859569999997</v>
      </c>
      <c r="P8">
        <v>1.4907167316000001</v>
      </c>
      <c r="Q8">
        <v>3.6675256782000001</v>
      </c>
      <c r="R8">
        <v>5.7118328215999998</v>
      </c>
      <c r="S8">
        <v>6.7879141701999997</v>
      </c>
      <c r="T8">
        <v>-2.6292641481999999</v>
      </c>
      <c r="U8">
        <v>-4.0948362946000003</v>
      </c>
      <c r="V8">
        <v>4.8662834115000004</v>
      </c>
      <c r="W8">
        <v>1.1414405984</v>
      </c>
      <c r="X8">
        <v>1.7776884052999999</v>
      </c>
      <c r="Y8">
        <v>2.1125962004000001</v>
      </c>
      <c r="Z8">
        <v>1.7541969000000001E-2</v>
      </c>
      <c r="AA8">
        <v>2.7409322100000001E-2</v>
      </c>
      <c r="AB8">
        <v>1.17412803E-2</v>
      </c>
      <c r="AC8">
        <v>1.33423659E-2</v>
      </c>
      <c r="AD8">
        <v>2.9283249300000001E-2</v>
      </c>
      <c r="AE8">
        <v>1.9265295799999999E-2</v>
      </c>
      <c r="AF8">
        <v>3.2205491500000002E-2</v>
      </c>
      <c r="AG8">
        <v>8.7048193999999992E-3</v>
      </c>
      <c r="AH8">
        <v>7.9111804300000005E-2</v>
      </c>
      <c r="AI8">
        <v>1.36612952E-2</v>
      </c>
      <c r="AJ8">
        <v>8.3988796800000001E-2</v>
      </c>
      <c r="AK8">
        <v>1.2222057999999999E-2</v>
      </c>
      <c r="AL8">
        <v>4.1247069000000004E-3</v>
      </c>
      <c r="AM8">
        <v>-1.5712333999999999E-3</v>
      </c>
      <c r="AN8">
        <v>1.41209358E-2</v>
      </c>
      <c r="AO8">
        <v>-3.4366227000000001E-3</v>
      </c>
      <c r="AP8">
        <v>9.6664044000000001E-3</v>
      </c>
      <c r="AQ8">
        <v>1.9824659E-3</v>
      </c>
      <c r="AR8">
        <v>5.93988113E-2</v>
      </c>
      <c r="AS8">
        <v>4.9464408699999997E-2</v>
      </c>
      <c r="AT8">
        <v>0.1019061403</v>
      </c>
      <c r="AU8">
        <v>5.4217086599999999E-2</v>
      </c>
      <c r="AV8">
        <v>0.1178501549</v>
      </c>
      <c r="AW8">
        <v>5.2837027299999999E-2</v>
      </c>
      <c r="AX8" t="b">
        <v>1</v>
      </c>
    </row>
    <row r="9" spans="1:50" x14ac:dyDescent="0.25">
      <c r="A9">
        <v>7</v>
      </c>
      <c r="B9">
        <v>0.44000005720000002</v>
      </c>
      <c r="C9">
        <v>0.64000010490000003</v>
      </c>
      <c r="D9">
        <v>1.0800001620999999</v>
      </c>
      <c r="E9">
        <v>2.6251394413</v>
      </c>
      <c r="F9">
        <v>4.1089572303999997</v>
      </c>
      <c r="G9">
        <v>4.8759498159000003</v>
      </c>
      <c r="H9">
        <v>-1.9183711301999999</v>
      </c>
      <c r="I9">
        <v>-3.0026995145000002</v>
      </c>
      <c r="J9">
        <v>3.5631940963000002</v>
      </c>
      <c r="K9">
        <v>0.60905081819999995</v>
      </c>
      <c r="L9">
        <v>0.95330698390000002</v>
      </c>
      <c r="M9">
        <v>1.1312546594999999</v>
      </c>
      <c r="N9">
        <v>0.44624278169999998</v>
      </c>
      <c r="O9">
        <v>0.62245813589999999</v>
      </c>
      <c r="P9">
        <v>1.0687009176</v>
      </c>
      <c r="Q9">
        <v>2.6292641481999999</v>
      </c>
      <c r="R9">
        <v>4.0948362946000003</v>
      </c>
      <c r="S9">
        <v>4.8662834115000004</v>
      </c>
      <c r="T9">
        <v>-1.8849302138999999</v>
      </c>
      <c r="U9">
        <v>-2.9356048756000002</v>
      </c>
      <c r="V9">
        <v>3.4886584666</v>
      </c>
      <c r="W9">
        <v>0.58664507359999996</v>
      </c>
      <c r="X9">
        <v>0.91364556929999996</v>
      </c>
      <c r="Y9">
        <v>1.085771923</v>
      </c>
      <c r="Z9">
        <v>6.2427244999999996E-3</v>
      </c>
      <c r="AA9">
        <v>1.41880084E-2</v>
      </c>
      <c r="AB9">
        <v>1.7541969000000001E-2</v>
      </c>
      <c r="AC9">
        <v>2.7409322100000001E-2</v>
      </c>
      <c r="AD9">
        <v>1.12992445E-2</v>
      </c>
      <c r="AE9">
        <v>1.04622619E-2</v>
      </c>
      <c r="AF9">
        <v>4.1247069000000004E-3</v>
      </c>
      <c r="AG9">
        <v>1.5712333999999999E-3</v>
      </c>
      <c r="AH9">
        <v>1.41209358E-2</v>
      </c>
      <c r="AI9">
        <v>3.4366227000000001E-3</v>
      </c>
      <c r="AJ9">
        <v>9.6664044000000001E-3</v>
      </c>
      <c r="AK9">
        <v>1.9824659E-3</v>
      </c>
      <c r="AL9">
        <v>3.3440916299999998E-2</v>
      </c>
      <c r="AM9">
        <v>-1.7431932599999998E-2</v>
      </c>
      <c r="AN9">
        <v>6.7094638900000003E-2</v>
      </c>
      <c r="AO9">
        <v>-2.2344772999999998E-2</v>
      </c>
      <c r="AP9">
        <v>7.4535629699999995E-2</v>
      </c>
      <c r="AQ9">
        <v>2.09182064E-2</v>
      </c>
      <c r="AR9">
        <v>2.2405744599999999E-2</v>
      </c>
      <c r="AS9">
        <v>3.6787972299999999E-2</v>
      </c>
      <c r="AT9">
        <v>3.96614146E-2</v>
      </c>
      <c r="AU9">
        <v>4.1604032399999998E-2</v>
      </c>
      <c r="AV9">
        <v>4.5482736500000003E-2</v>
      </c>
      <c r="AW9">
        <v>4.0205568300000001E-2</v>
      </c>
      <c r="AX9" t="b">
        <v>1</v>
      </c>
    </row>
    <row r="10" spans="1:50" x14ac:dyDescent="0.25">
      <c r="A10">
        <v>8</v>
      </c>
      <c r="B10">
        <v>0.33999991419999998</v>
      </c>
      <c r="C10">
        <v>0.45000004770000002</v>
      </c>
      <c r="D10">
        <v>0.78999996189999999</v>
      </c>
      <c r="E10">
        <v>1.9183711301999999</v>
      </c>
      <c r="F10">
        <v>3.0026995145000002</v>
      </c>
      <c r="G10">
        <v>3.5631940963000002</v>
      </c>
      <c r="H10">
        <v>-1.3630531715</v>
      </c>
      <c r="I10">
        <v>-2.1334970234999999</v>
      </c>
      <c r="J10">
        <v>2.5317431736999998</v>
      </c>
      <c r="K10">
        <v>0.33126926600000001</v>
      </c>
      <c r="L10">
        <v>0.51851388320000003</v>
      </c>
      <c r="M10">
        <v>0.61530153070000004</v>
      </c>
      <c r="N10">
        <v>0.31991327400000003</v>
      </c>
      <c r="O10">
        <v>0.44624278169999998</v>
      </c>
      <c r="P10">
        <v>0.7661560557</v>
      </c>
      <c r="Q10">
        <v>1.8849302138999999</v>
      </c>
      <c r="R10">
        <v>2.9356048756000002</v>
      </c>
      <c r="S10">
        <v>3.4886584666</v>
      </c>
      <c r="T10">
        <v>-1.3513141742000001</v>
      </c>
      <c r="U10">
        <v>-2.1045471334000001</v>
      </c>
      <c r="V10">
        <v>2.5010335131999999</v>
      </c>
      <c r="W10">
        <v>0.30150709799999997</v>
      </c>
      <c r="X10">
        <v>0.46956948339999999</v>
      </c>
      <c r="Y10">
        <v>0.55803407589999998</v>
      </c>
      <c r="Z10">
        <v>2.0086640199999999E-2</v>
      </c>
      <c r="AA10">
        <v>5.9078368399999998E-2</v>
      </c>
      <c r="AB10">
        <v>3.757266E-3</v>
      </c>
      <c r="AC10">
        <v>8.3494790999999995E-3</v>
      </c>
      <c r="AD10">
        <v>2.3843906200000001E-2</v>
      </c>
      <c r="AE10">
        <v>3.0182161200000002E-2</v>
      </c>
      <c r="AF10">
        <v>3.3440916299999998E-2</v>
      </c>
      <c r="AG10">
        <v>1.7431932599999998E-2</v>
      </c>
      <c r="AH10">
        <v>6.7094638900000003E-2</v>
      </c>
      <c r="AI10">
        <v>2.2344772999999998E-2</v>
      </c>
      <c r="AJ10">
        <v>7.4535629699999995E-2</v>
      </c>
      <c r="AK10">
        <v>2.09182064E-2</v>
      </c>
      <c r="AL10">
        <v>1.17389973E-2</v>
      </c>
      <c r="AM10">
        <v>-8.6122812999999999E-3</v>
      </c>
      <c r="AN10">
        <v>2.89498901E-2</v>
      </c>
      <c r="AO10">
        <v>-1.3569219800000001E-2</v>
      </c>
      <c r="AP10">
        <v>3.0709660499999999E-2</v>
      </c>
      <c r="AQ10">
        <v>1.21298482E-2</v>
      </c>
      <c r="AR10">
        <v>2.9762167999999999E-2</v>
      </c>
      <c r="AS10">
        <v>8.9842828900000005E-2</v>
      </c>
      <c r="AT10">
        <v>4.8944399800000003E-2</v>
      </c>
      <c r="AU10">
        <v>9.4393614900000006E-2</v>
      </c>
      <c r="AV10">
        <v>5.7267454799999999E-2</v>
      </c>
      <c r="AW10">
        <v>9.3072180000000004E-2</v>
      </c>
      <c r="AX10" t="b">
        <v>1</v>
      </c>
    </row>
    <row r="11" spans="1:50" x14ac:dyDescent="0.25">
      <c r="A11">
        <v>9</v>
      </c>
      <c r="B11">
        <v>0.2400000095</v>
      </c>
      <c r="C11">
        <v>0.33999991419999998</v>
      </c>
      <c r="D11">
        <v>0.57999992369999998</v>
      </c>
      <c r="E11">
        <v>1.3630531715</v>
      </c>
      <c r="F11">
        <v>2.1334970234999999</v>
      </c>
      <c r="G11">
        <v>2.5317431736999998</v>
      </c>
      <c r="H11">
        <v>-1.0096690158999999</v>
      </c>
      <c r="I11">
        <v>-1.5803681654999999</v>
      </c>
      <c r="J11">
        <v>1.8753653137999999</v>
      </c>
      <c r="K11">
        <v>0.170029927</v>
      </c>
      <c r="L11">
        <v>0.26613660480000001</v>
      </c>
      <c r="M11">
        <v>0.31581461100000002</v>
      </c>
      <c r="N11">
        <v>0.2293471336</v>
      </c>
      <c r="O11">
        <v>0.31991327400000003</v>
      </c>
      <c r="P11">
        <v>0.54926040759999994</v>
      </c>
      <c r="Q11">
        <v>1.3513141742000001</v>
      </c>
      <c r="R11">
        <v>2.1045471334000001</v>
      </c>
      <c r="S11">
        <v>2.5010335131999999</v>
      </c>
      <c r="T11">
        <v>-0.96876265449999999</v>
      </c>
      <c r="U11">
        <v>-1.5087584413999999</v>
      </c>
      <c r="V11">
        <v>1.7930011476000001</v>
      </c>
      <c r="W11">
        <v>0.1549600163</v>
      </c>
      <c r="X11">
        <v>0.2413359263</v>
      </c>
      <c r="Y11">
        <v>0.28680243370000003</v>
      </c>
      <c r="Z11">
        <v>1.0652875900000001E-2</v>
      </c>
      <c r="AA11">
        <v>4.4386981200000002E-2</v>
      </c>
      <c r="AB11">
        <v>2.0086640199999999E-2</v>
      </c>
      <c r="AC11">
        <v>5.9078368399999998E-2</v>
      </c>
      <c r="AD11">
        <v>3.0739516099999999E-2</v>
      </c>
      <c r="AE11">
        <v>5.29991727E-2</v>
      </c>
      <c r="AF11">
        <v>1.17389973E-2</v>
      </c>
      <c r="AG11">
        <v>8.6122812999999999E-3</v>
      </c>
      <c r="AH11">
        <v>2.89498901E-2</v>
      </c>
      <c r="AI11">
        <v>1.3569219800000001E-2</v>
      </c>
      <c r="AJ11">
        <v>3.0709660499999999E-2</v>
      </c>
      <c r="AK11">
        <v>1.21298482E-2</v>
      </c>
      <c r="AL11">
        <v>4.0906361400000001E-2</v>
      </c>
      <c r="AM11">
        <v>-4.0514624800000003E-2</v>
      </c>
      <c r="AN11">
        <v>7.1609724099999994E-2</v>
      </c>
      <c r="AO11">
        <v>-4.5312051800000003E-2</v>
      </c>
      <c r="AP11">
        <v>8.2364166200000005E-2</v>
      </c>
      <c r="AQ11">
        <v>4.3918998399999999E-2</v>
      </c>
      <c r="AR11">
        <v>1.50699107E-2</v>
      </c>
      <c r="AS11">
        <v>8.8630930799999993E-2</v>
      </c>
      <c r="AT11">
        <v>2.4800678499999999E-2</v>
      </c>
      <c r="AU11">
        <v>9.3187776700000002E-2</v>
      </c>
      <c r="AV11">
        <v>2.9012177300000001E-2</v>
      </c>
      <c r="AW11">
        <v>9.1864582200000003E-2</v>
      </c>
      <c r="AX11" t="b">
        <v>1</v>
      </c>
    </row>
    <row r="12" spans="1:50" x14ac:dyDescent="0.25">
      <c r="A12">
        <v>10</v>
      </c>
      <c r="B12">
        <v>0.1800000668</v>
      </c>
      <c r="C12">
        <v>0.2400000095</v>
      </c>
      <c r="D12">
        <v>0.42000007630000002</v>
      </c>
      <c r="E12">
        <v>1.0096690158999999</v>
      </c>
      <c r="F12">
        <v>1.5803681654999999</v>
      </c>
      <c r="G12">
        <v>1.8753653137999999</v>
      </c>
      <c r="H12">
        <v>-0.67585273379999999</v>
      </c>
      <c r="I12">
        <v>-1.0578676064000001</v>
      </c>
      <c r="J12">
        <v>1.2553329401</v>
      </c>
      <c r="K12">
        <v>9.6481594800000001E-2</v>
      </c>
      <c r="L12">
        <v>0.15101626239999999</v>
      </c>
      <c r="M12">
        <v>0.17920549559999999</v>
      </c>
      <c r="N12">
        <v>0.1644198975</v>
      </c>
      <c r="O12">
        <v>0.22934713370000001</v>
      </c>
      <c r="P12">
        <v>0.39376703120000001</v>
      </c>
      <c r="Q12">
        <v>0.96876265449999999</v>
      </c>
      <c r="R12">
        <v>1.5087584413999999</v>
      </c>
      <c r="S12">
        <v>1.7930011476000001</v>
      </c>
      <c r="T12">
        <v>-0.69450990639999999</v>
      </c>
      <c r="U12">
        <v>-1.0816350931000001</v>
      </c>
      <c r="V12">
        <v>1.2854098509</v>
      </c>
      <c r="W12">
        <v>7.9641928200000003E-2</v>
      </c>
      <c r="X12">
        <v>0.1240349541</v>
      </c>
      <c r="Y12">
        <v>0.14740253240000001</v>
      </c>
      <c r="Z12">
        <v>1.55801693E-2</v>
      </c>
      <c r="AA12">
        <v>8.6556464E-2</v>
      </c>
      <c r="AB12">
        <v>1.0652875799999999E-2</v>
      </c>
      <c r="AC12">
        <v>4.4386980700000002E-2</v>
      </c>
      <c r="AD12">
        <v>2.6233045100000001E-2</v>
      </c>
      <c r="AE12">
        <v>6.2459619799999998E-2</v>
      </c>
      <c r="AF12">
        <v>4.0906361400000001E-2</v>
      </c>
      <c r="AG12">
        <v>4.0514624800000003E-2</v>
      </c>
      <c r="AH12">
        <v>7.1609724099999994E-2</v>
      </c>
      <c r="AI12">
        <v>4.5312051800000003E-2</v>
      </c>
      <c r="AJ12">
        <v>8.2364166200000005E-2</v>
      </c>
      <c r="AK12">
        <v>4.3918998399999999E-2</v>
      </c>
      <c r="AL12">
        <v>1.8657172600000001E-2</v>
      </c>
      <c r="AM12">
        <v>-2.7605381599999999E-2</v>
      </c>
      <c r="AN12">
        <v>2.37674867E-2</v>
      </c>
      <c r="AO12">
        <v>-2.2467354700000001E-2</v>
      </c>
      <c r="AP12">
        <v>3.0076910799999999E-2</v>
      </c>
      <c r="AQ12">
        <v>2.3959309799999998E-2</v>
      </c>
      <c r="AR12">
        <v>1.6839666600000001E-2</v>
      </c>
      <c r="AS12">
        <v>0.1745376062</v>
      </c>
      <c r="AT12">
        <v>2.69813083E-2</v>
      </c>
      <c r="AU12">
        <v>0.17866491910000001</v>
      </c>
      <c r="AV12">
        <v>3.1802963199999999E-2</v>
      </c>
      <c r="AW12">
        <v>0.1774664504</v>
      </c>
      <c r="AX12" t="b">
        <v>1</v>
      </c>
    </row>
    <row r="13" spans="1:50" x14ac:dyDescent="0.25">
      <c r="A13">
        <v>11</v>
      </c>
      <c r="B13">
        <v>0.10999989509999999</v>
      </c>
      <c r="C13">
        <v>0.19000005719999999</v>
      </c>
      <c r="D13">
        <v>0.29999995229999998</v>
      </c>
      <c r="E13">
        <v>0.67585273379999999</v>
      </c>
      <c r="F13">
        <v>1.0578676064000001</v>
      </c>
      <c r="G13">
        <v>1.2553329401</v>
      </c>
      <c r="H13">
        <v>-0.50483450789999995</v>
      </c>
      <c r="I13">
        <v>-0.79018408279999997</v>
      </c>
      <c r="J13">
        <v>0.93768265689999997</v>
      </c>
      <c r="K13">
        <v>4.45931153E-2</v>
      </c>
      <c r="L13">
        <v>6.9798655400000006E-2</v>
      </c>
      <c r="M13">
        <v>8.2827521000000001E-2</v>
      </c>
      <c r="N13">
        <v>0.1178732965</v>
      </c>
      <c r="O13">
        <v>0.1644198975</v>
      </c>
      <c r="P13">
        <v>0.28229319400000003</v>
      </c>
      <c r="Q13">
        <v>0.69450990639999999</v>
      </c>
      <c r="R13">
        <v>1.0816350931000001</v>
      </c>
      <c r="S13">
        <v>1.2854098509</v>
      </c>
      <c r="T13">
        <v>-0.49789699040000002</v>
      </c>
      <c r="U13">
        <v>-0.77542861900000004</v>
      </c>
      <c r="V13">
        <v>0.92151557569999998</v>
      </c>
      <c r="W13">
        <v>4.0932086100000001E-2</v>
      </c>
      <c r="X13">
        <v>6.3747946999999999E-2</v>
      </c>
      <c r="Y13">
        <v>7.5757748200000002E-2</v>
      </c>
      <c r="Z13">
        <v>7.8734014000000005E-3</v>
      </c>
      <c r="AA13">
        <v>7.1576444599999997E-2</v>
      </c>
      <c r="AB13">
        <v>2.5580159700000001E-2</v>
      </c>
      <c r="AC13">
        <v>0.13463237889999999</v>
      </c>
      <c r="AD13">
        <v>1.77067583E-2</v>
      </c>
      <c r="AE13">
        <v>5.9022537100000001E-2</v>
      </c>
      <c r="AF13">
        <v>1.8657172600000001E-2</v>
      </c>
      <c r="AG13">
        <v>2.7605381599999999E-2</v>
      </c>
      <c r="AH13">
        <v>2.37674867E-2</v>
      </c>
      <c r="AI13">
        <v>2.2467354700000001E-2</v>
      </c>
      <c r="AJ13">
        <v>3.0076910799999999E-2</v>
      </c>
      <c r="AK13">
        <v>2.3959309799999998E-2</v>
      </c>
      <c r="AL13">
        <v>6.9375175000000004E-3</v>
      </c>
      <c r="AM13">
        <v>-1.37421618E-2</v>
      </c>
      <c r="AN13">
        <v>1.47554638E-2</v>
      </c>
      <c r="AO13">
        <v>-1.8673451099999998E-2</v>
      </c>
      <c r="AP13">
        <v>1.6167081199999999E-2</v>
      </c>
      <c r="AQ13">
        <v>1.7241527400000001E-2</v>
      </c>
      <c r="AR13">
        <v>3.6610292000000002E-3</v>
      </c>
      <c r="AS13">
        <v>8.2098529700000006E-2</v>
      </c>
      <c r="AT13">
        <v>6.0507084000000003E-3</v>
      </c>
      <c r="AU13">
        <v>8.6688036699999999E-2</v>
      </c>
      <c r="AV13">
        <v>7.0697727999999996E-3</v>
      </c>
      <c r="AW13">
        <v>8.53553591E-2</v>
      </c>
      <c r="AX13" t="b">
        <v>1</v>
      </c>
    </row>
    <row r="14" spans="1:50" x14ac:dyDescent="0.25">
      <c r="A14">
        <v>12</v>
      </c>
      <c r="B14">
        <v>8.9999914200000003E-2</v>
      </c>
      <c r="C14">
        <v>0.14000010490000001</v>
      </c>
      <c r="D14">
        <v>0.23000001910000001</v>
      </c>
      <c r="E14">
        <v>0.50483450789999995</v>
      </c>
      <c r="F14">
        <v>0.79018408279999997</v>
      </c>
      <c r="G14">
        <v>0.93768265689999997</v>
      </c>
      <c r="H14">
        <v>-0.38840981769999999</v>
      </c>
      <c r="I14">
        <v>-0.60795221150000001</v>
      </c>
      <c r="J14">
        <v>0.72143473579999995</v>
      </c>
      <c r="K14">
        <v>2.5756985E-2</v>
      </c>
      <c r="L14">
        <v>4.0315706E-2</v>
      </c>
      <c r="M14">
        <v>4.78411792E-2</v>
      </c>
      <c r="N14">
        <v>8.4503848000000006E-2</v>
      </c>
      <c r="O14">
        <v>0.1178732965</v>
      </c>
      <c r="P14">
        <v>0.20237714449999999</v>
      </c>
      <c r="Q14">
        <v>0.49789699040000002</v>
      </c>
      <c r="R14">
        <v>0.77542861900000004</v>
      </c>
      <c r="S14">
        <v>0.92151557569999998</v>
      </c>
      <c r="T14">
        <v>-0.35694438740000001</v>
      </c>
      <c r="U14">
        <v>-0.55590794619999995</v>
      </c>
      <c r="V14">
        <v>0.66063828250000001</v>
      </c>
      <c r="W14">
        <v>2.1037105800000001E-2</v>
      </c>
      <c r="X14">
        <v>3.2763351099999997E-2</v>
      </c>
      <c r="Y14">
        <v>3.8935806099999998E-2</v>
      </c>
      <c r="Z14">
        <v>5.4960662E-3</v>
      </c>
      <c r="AA14">
        <v>6.1067460400000002E-2</v>
      </c>
      <c r="AB14">
        <v>2.21268084E-2</v>
      </c>
      <c r="AC14">
        <v>0.158048513</v>
      </c>
      <c r="AD14">
        <v>2.76228746E-2</v>
      </c>
      <c r="AE14">
        <v>0.1200994448</v>
      </c>
      <c r="AF14">
        <v>6.9375175000000004E-3</v>
      </c>
      <c r="AG14">
        <v>1.37421618E-2</v>
      </c>
      <c r="AH14">
        <v>1.47554638E-2</v>
      </c>
      <c r="AI14">
        <v>1.8673451099999998E-2</v>
      </c>
      <c r="AJ14">
        <v>1.6167081199999999E-2</v>
      </c>
      <c r="AK14">
        <v>1.7241527400000001E-2</v>
      </c>
      <c r="AL14">
        <v>3.14654303E-2</v>
      </c>
      <c r="AM14">
        <v>-8.1010903600000003E-2</v>
      </c>
      <c r="AN14">
        <v>5.2044265300000003E-2</v>
      </c>
      <c r="AO14">
        <v>-8.5605849100000006E-2</v>
      </c>
      <c r="AP14">
        <v>6.0796453299999997E-2</v>
      </c>
      <c r="AQ14">
        <v>8.4271591399999998E-2</v>
      </c>
      <c r="AR14">
        <v>4.7198791999999998E-3</v>
      </c>
      <c r="AS14">
        <v>0.18324657180000001</v>
      </c>
      <c r="AT14">
        <v>7.5523548999999997E-3</v>
      </c>
      <c r="AU14">
        <v>0.18733033969999999</v>
      </c>
      <c r="AV14">
        <v>8.9053731000000007E-3</v>
      </c>
      <c r="AW14">
        <v>0.18614451500000001</v>
      </c>
      <c r="AX14" t="b">
        <v>1</v>
      </c>
    </row>
    <row r="15" spans="1:50" x14ac:dyDescent="0.25">
      <c r="A15">
        <v>13</v>
      </c>
      <c r="B15">
        <v>6.9999933200000003E-2</v>
      </c>
      <c r="C15">
        <v>0.10000014309999999</v>
      </c>
      <c r="D15">
        <v>0.1700000763</v>
      </c>
      <c r="E15">
        <v>0.38840981769999999</v>
      </c>
      <c r="F15">
        <v>0.60795221150000001</v>
      </c>
      <c r="G15">
        <v>0.72143473579999995</v>
      </c>
      <c r="H15">
        <v>-0.25241725399999998</v>
      </c>
      <c r="I15">
        <v>-0.39509204139999998</v>
      </c>
      <c r="J15">
        <v>0.46884132849999999</v>
      </c>
      <c r="K15">
        <v>1.6106453499999999E-2</v>
      </c>
      <c r="L15">
        <v>2.52103669E-2</v>
      </c>
      <c r="M15">
        <v>2.9916223799999999E-2</v>
      </c>
      <c r="N15">
        <v>6.0581153999999998E-2</v>
      </c>
      <c r="O15">
        <v>8.4503848000000006E-2</v>
      </c>
      <c r="P15">
        <v>0.14508500199999999</v>
      </c>
      <c r="Q15">
        <v>0.35694438740000001</v>
      </c>
      <c r="R15">
        <v>0.55590794619999995</v>
      </c>
      <c r="S15">
        <v>0.66063828250000001</v>
      </c>
      <c r="T15">
        <v>-0.2558948902</v>
      </c>
      <c r="U15">
        <v>-0.39853267869999998</v>
      </c>
      <c r="V15">
        <v>0.47361428490000002</v>
      </c>
      <c r="W15">
        <v>1.0812051499999999E-2</v>
      </c>
      <c r="X15">
        <v>1.6838772500000002E-2</v>
      </c>
      <c r="Y15">
        <v>2.00111148E-2</v>
      </c>
      <c r="Z15">
        <v>9.4187791999999996E-3</v>
      </c>
      <c r="AA15">
        <v>0.134554117</v>
      </c>
      <c r="AB15">
        <v>1.54962951E-2</v>
      </c>
      <c r="AC15">
        <v>0.15496272920000001</v>
      </c>
      <c r="AD15">
        <v>2.4915074299999999E-2</v>
      </c>
      <c r="AE15">
        <v>0.14655919479999999</v>
      </c>
      <c r="AF15">
        <v>3.14654303E-2</v>
      </c>
      <c r="AG15">
        <v>8.1010903600000003E-2</v>
      </c>
      <c r="AH15">
        <v>5.2044265300000003E-2</v>
      </c>
      <c r="AI15">
        <v>8.5605849100000006E-2</v>
      </c>
      <c r="AJ15">
        <v>6.0796453299999997E-2</v>
      </c>
      <c r="AK15">
        <v>8.4271591399999998E-2</v>
      </c>
      <c r="AL15">
        <v>3.4776362000000002E-3</v>
      </c>
      <c r="AM15">
        <v>-1.37773316E-2</v>
      </c>
      <c r="AN15">
        <v>3.4406373E-3</v>
      </c>
      <c r="AO15">
        <v>-8.7084450000000004E-3</v>
      </c>
      <c r="AP15">
        <v>4.7729564000000002E-3</v>
      </c>
      <c r="AQ15">
        <v>1.01803235E-2</v>
      </c>
      <c r="AR15">
        <v>5.2944020000000001E-3</v>
      </c>
      <c r="AS15">
        <v>0.32871308389999998</v>
      </c>
      <c r="AT15">
        <v>8.3715943999999997E-3</v>
      </c>
      <c r="AU15">
        <v>0.3320695186</v>
      </c>
      <c r="AV15">
        <v>9.9051090000000005E-3</v>
      </c>
      <c r="AW15">
        <v>0.3310948957</v>
      </c>
      <c r="AX15" t="b">
        <v>1</v>
      </c>
    </row>
    <row r="16" spans="1:50" x14ac:dyDescent="0.25">
      <c r="A16">
        <v>14</v>
      </c>
      <c r="B16">
        <v>4.9999952299999997E-2</v>
      </c>
      <c r="C16">
        <v>7.9999923700000003E-2</v>
      </c>
      <c r="D16">
        <v>0.12999987599999999</v>
      </c>
      <c r="E16">
        <v>0.25241725399999998</v>
      </c>
      <c r="F16">
        <v>0.39509204139999998</v>
      </c>
      <c r="G16">
        <v>0.46884132849999999</v>
      </c>
      <c r="H16">
        <v>-0.20193380320000001</v>
      </c>
      <c r="I16">
        <v>-0.31607363309999997</v>
      </c>
      <c r="J16">
        <v>0.37507306280000002</v>
      </c>
      <c r="K16">
        <v>7.7270955000000004E-3</v>
      </c>
      <c r="L16">
        <v>1.20947118E-2</v>
      </c>
      <c r="M16">
        <v>1.43523538E-2</v>
      </c>
      <c r="N16">
        <v>4.3430876899999998E-2</v>
      </c>
      <c r="O16">
        <v>6.0581153999999998E-2</v>
      </c>
      <c r="P16">
        <v>0.1040120309</v>
      </c>
      <c r="Q16">
        <v>0.2558948902</v>
      </c>
      <c r="R16">
        <v>0.39853267869999998</v>
      </c>
      <c r="S16">
        <v>0.47361428490000002</v>
      </c>
      <c r="T16">
        <v>-0.18345209270000001</v>
      </c>
      <c r="U16">
        <v>-0.28570970620000002</v>
      </c>
      <c r="V16">
        <v>0.33953601649999998</v>
      </c>
      <c r="W16">
        <v>5.5568696999999997E-3</v>
      </c>
      <c r="X16">
        <v>8.6543118999999995E-3</v>
      </c>
      <c r="Y16">
        <v>1.02847419E-2</v>
      </c>
      <c r="Z16">
        <v>6.5690753999999999E-3</v>
      </c>
      <c r="AA16">
        <v>0.13138163329999999</v>
      </c>
      <c r="AB16">
        <v>1.9418769700000001E-2</v>
      </c>
      <c r="AC16">
        <v>0.24273485280000001</v>
      </c>
      <c r="AD16">
        <v>2.59878451E-2</v>
      </c>
      <c r="AE16">
        <v>0.1999066914</v>
      </c>
      <c r="AF16">
        <v>3.4776362000000002E-3</v>
      </c>
      <c r="AG16">
        <v>1.37773316E-2</v>
      </c>
      <c r="AH16">
        <v>3.4406373E-3</v>
      </c>
      <c r="AI16">
        <v>8.7084450000000004E-3</v>
      </c>
      <c r="AJ16">
        <v>4.7729564000000002E-3</v>
      </c>
      <c r="AK16">
        <v>1.01803235E-2</v>
      </c>
      <c r="AL16">
        <v>1.8481710500000002E-2</v>
      </c>
      <c r="AM16">
        <v>-9.1523609300000003E-2</v>
      </c>
      <c r="AN16">
        <v>3.0363926900000001E-2</v>
      </c>
      <c r="AO16">
        <v>-9.60659913E-2</v>
      </c>
      <c r="AP16">
        <v>3.55370463E-2</v>
      </c>
      <c r="AQ16">
        <v>9.4746996900000005E-2</v>
      </c>
      <c r="AR16">
        <v>2.1702257999999999E-3</v>
      </c>
      <c r="AS16">
        <v>0.2808591922</v>
      </c>
      <c r="AT16">
        <v>3.4403999000000001E-3</v>
      </c>
      <c r="AU16">
        <v>0.28445488880000003</v>
      </c>
      <c r="AV16">
        <v>4.0676119000000004E-3</v>
      </c>
      <c r="AW16">
        <v>0.28341078800000002</v>
      </c>
      <c r="AX16" t="b">
        <v>1</v>
      </c>
    </row>
    <row r="17" spans="1:50" x14ac:dyDescent="0.25">
      <c r="A17">
        <v>15</v>
      </c>
      <c r="B17">
        <v>3.9999961899999999E-2</v>
      </c>
      <c r="C17">
        <v>6.0000181200000002E-2</v>
      </c>
      <c r="D17">
        <v>0.10000014309999999</v>
      </c>
      <c r="E17">
        <v>0.20193380320000001</v>
      </c>
      <c r="F17">
        <v>0.31607363309999997</v>
      </c>
      <c r="G17">
        <v>0.37507306280000002</v>
      </c>
      <c r="H17">
        <v>-0.14526723690000001</v>
      </c>
      <c r="I17">
        <v>-0.22737720289999999</v>
      </c>
      <c r="J17">
        <v>0.26982024110000002</v>
      </c>
      <c r="K17">
        <v>5.0998711000000002E-3</v>
      </c>
      <c r="L17">
        <v>7.9824909999999995E-3</v>
      </c>
      <c r="M17">
        <v>9.4725312000000002E-3</v>
      </c>
      <c r="N17">
        <v>3.1135773200000001E-2</v>
      </c>
      <c r="O17">
        <v>4.3430876899999998E-2</v>
      </c>
      <c r="P17">
        <v>7.4566650100000006E-2</v>
      </c>
      <c r="Q17">
        <v>0.18345209270000001</v>
      </c>
      <c r="R17">
        <v>0.28570970620000002</v>
      </c>
      <c r="S17">
        <v>0.33953601649999998</v>
      </c>
      <c r="T17">
        <v>-0.13151755500000001</v>
      </c>
      <c r="U17">
        <v>-0.2048264561</v>
      </c>
      <c r="V17">
        <v>0.24341475800000001</v>
      </c>
      <c r="W17">
        <v>2.8559613999999999E-3</v>
      </c>
      <c r="X17">
        <v>4.4478963000000003E-3</v>
      </c>
      <c r="Y17">
        <v>5.2858582000000001E-3</v>
      </c>
      <c r="Z17">
        <v>8.8641886999999992E-3</v>
      </c>
      <c r="AA17">
        <v>0.2216049286</v>
      </c>
      <c r="AB17">
        <v>1.6569304300000001E-2</v>
      </c>
      <c r="AC17">
        <v>0.27615423770000003</v>
      </c>
      <c r="AD17">
        <v>2.5433493000000001E-2</v>
      </c>
      <c r="AE17">
        <v>0.25433456599999998</v>
      </c>
      <c r="AF17">
        <v>1.8481710500000002E-2</v>
      </c>
      <c r="AG17">
        <v>9.1523609300000003E-2</v>
      </c>
      <c r="AH17">
        <v>3.0363926900000001E-2</v>
      </c>
      <c r="AI17">
        <v>9.60659913E-2</v>
      </c>
      <c r="AJ17">
        <v>3.55370463E-2</v>
      </c>
      <c r="AK17">
        <v>9.4746996900000005E-2</v>
      </c>
      <c r="AL17">
        <v>1.37496819E-2</v>
      </c>
      <c r="AM17">
        <v>-9.4650949499999998E-2</v>
      </c>
      <c r="AN17">
        <v>2.25507468E-2</v>
      </c>
      <c r="AO17">
        <v>-9.9177694699999999E-2</v>
      </c>
      <c r="AP17">
        <v>2.6405483099999998E-2</v>
      </c>
      <c r="AQ17">
        <v>9.7863240300000001E-2</v>
      </c>
      <c r="AR17">
        <v>2.2439096999999999E-3</v>
      </c>
      <c r="AS17">
        <v>0.43999341469999997</v>
      </c>
      <c r="AT17">
        <v>3.5345947000000001E-3</v>
      </c>
      <c r="AU17">
        <v>0.4427934463</v>
      </c>
      <c r="AV17">
        <v>4.1866730000000001E-3</v>
      </c>
      <c r="AW17">
        <v>0.44198038639999998</v>
      </c>
      <c r="AX17" t="b">
        <v>1</v>
      </c>
    </row>
    <row r="18" spans="1:50" x14ac:dyDescent="0.25">
      <c r="A18">
        <v>16</v>
      </c>
      <c r="B18">
        <v>3.9999961899999999E-2</v>
      </c>
      <c r="C18">
        <v>3.9999961899999999E-2</v>
      </c>
      <c r="D18">
        <v>7.9999923799999997E-2</v>
      </c>
      <c r="E18">
        <v>0.14526723690000001</v>
      </c>
      <c r="F18">
        <v>0.22737720289999999</v>
      </c>
      <c r="G18">
        <v>0.26982024110000002</v>
      </c>
      <c r="H18">
        <v>-0.1040584593</v>
      </c>
      <c r="I18">
        <v>-0.16287582749999999</v>
      </c>
      <c r="J18">
        <v>0.19327880929999999</v>
      </c>
      <c r="K18">
        <v>3.2109855000000001E-3</v>
      </c>
      <c r="L18">
        <v>5.0259433000000003E-3</v>
      </c>
      <c r="M18">
        <v>5.9641038000000004E-3</v>
      </c>
      <c r="N18">
        <v>2.2321363E-2</v>
      </c>
      <c r="O18">
        <v>3.1135773200000001E-2</v>
      </c>
      <c r="P18">
        <v>5.3457136199999998E-2</v>
      </c>
      <c r="Q18">
        <v>0.13151755500000001</v>
      </c>
      <c r="R18">
        <v>0.2048264561</v>
      </c>
      <c r="S18">
        <v>0.24341475800000001</v>
      </c>
      <c r="T18">
        <v>-9.4285472699999998E-2</v>
      </c>
      <c r="U18">
        <v>-0.1468409235</v>
      </c>
      <c r="V18">
        <v>0.17450503479999999</v>
      </c>
      <c r="W18">
        <v>1.4678255E-3</v>
      </c>
      <c r="X18">
        <v>2.2860027999999999E-3</v>
      </c>
      <c r="Y18">
        <v>2.7166744999999998E-3</v>
      </c>
      <c r="Z18">
        <v>1.7678598899999998E-2</v>
      </c>
      <c r="AA18">
        <v>0.44196539350000003</v>
      </c>
      <c r="AB18">
        <v>8.8641886999999992E-3</v>
      </c>
      <c r="AC18">
        <v>0.2216049286</v>
      </c>
      <c r="AD18">
        <v>2.6542787599999999E-2</v>
      </c>
      <c r="AE18">
        <v>0.331785161</v>
      </c>
      <c r="AF18">
        <v>1.37496819E-2</v>
      </c>
      <c r="AG18">
        <v>9.4650949499999998E-2</v>
      </c>
      <c r="AH18">
        <v>2.25507468E-2</v>
      </c>
      <c r="AI18">
        <v>9.9177694699999999E-2</v>
      </c>
      <c r="AJ18">
        <v>2.6405483099999998E-2</v>
      </c>
      <c r="AK18">
        <v>9.7863240300000001E-2</v>
      </c>
      <c r="AL18">
        <v>9.7729866000000002E-3</v>
      </c>
      <c r="AM18">
        <v>-9.3918232700000007E-2</v>
      </c>
      <c r="AN18">
        <v>1.6034903999999999E-2</v>
      </c>
      <c r="AO18">
        <v>-9.84486418E-2</v>
      </c>
      <c r="AP18">
        <v>1.87737745E-2</v>
      </c>
      <c r="AQ18">
        <v>9.7133123700000004E-2</v>
      </c>
      <c r="AR18">
        <v>1.7431600000000001E-3</v>
      </c>
      <c r="AS18">
        <v>0.54287383109999998</v>
      </c>
      <c r="AT18">
        <v>2.7399404999999999E-3</v>
      </c>
      <c r="AU18">
        <v>0.54515945300000002</v>
      </c>
      <c r="AV18">
        <v>3.2474293000000001E-3</v>
      </c>
      <c r="AW18">
        <v>0.54449577149999995</v>
      </c>
      <c r="AX18" t="b">
        <v>1</v>
      </c>
    </row>
    <row r="19" spans="1:50" x14ac:dyDescent="0.25">
      <c r="A19">
        <v>17</v>
      </c>
      <c r="B19">
        <v>1.9999980899999999E-2</v>
      </c>
      <c r="C19">
        <v>4.9999952299999997E-2</v>
      </c>
      <c r="D19">
        <v>6.9999933200000003E-2</v>
      </c>
      <c r="E19">
        <v>0.1040584593</v>
      </c>
      <c r="F19">
        <v>0.16287582749999999</v>
      </c>
      <c r="G19">
        <v>0.19327880929999999</v>
      </c>
      <c r="H19">
        <v>-9.4783786100000003E-2</v>
      </c>
      <c r="I19">
        <v>-0.14835879460000001</v>
      </c>
      <c r="J19">
        <v>0.1760519754</v>
      </c>
      <c r="K19">
        <v>1.7343076E-3</v>
      </c>
      <c r="L19">
        <v>2.7145971000000001E-3</v>
      </c>
      <c r="M19">
        <v>3.2213134000000001E-3</v>
      </c>
      <c r="N19">
        <v>1.6002276400000001E-2</v>
      </c>
      <c r="O19">
        <v>2.2321363E-2</v>
      </c>
      <c r="P19">
        <v>3.8323639399999998E-2</v>
      </c>
      <c r="Q19">
        <v>9.4285472699999998E-2</v>
      </c>
      <c r="R19">
        <v>0.1468409235</v>
      </c>
      <c r="S19">
        <v>0.17450503479999999</v>
      </c>
      <c r="T19">
        <v>-6.7593640699999999E-2</v>
      </c>
      <c r="U19">
        <v>-0.1052708582</v>
      </c>
      <c r="V19">
        <v>0.12510337269999999</v>
      </c>
      <c r="W19">
        <v>7.5439110000000001E-4</v>
      </c>
      <c r="X19">
        <v>1.1748945000000001E-3</v>
      </c>
      <c r="Y19">
        <v>1.3962389E-3</v>
      </c>
      <c r="Z19">
        <v>3.9977045000000001E-3</v>
      </c>
      <c r="AA19">
        <v>0.1998854159</v>
      </c>
      <c r="AB19">
        <v>2.7678589300000001E-2</v>
      </c>
      <c r="AC19">
        <v>0.55357231409999996</v>
      </c>
      <c r="AD19">
        <v>3.1676293799999998E-2</v>
      </c>
      <c r="AE19">
        <v>0.4525189147</v>
      </c>
      <c r="AF19">
        <v>9.7729866000000002E-3</v>
      </c>
      <c r="AG19">
        <v>9.3918232700000007E-2</v>
      </c>
      <c r="AH19">
        <v>1.6034903999999999E-2</v>
      </c>
      <c r="AI19">
        <v>9.84486418E-2</v>
      </c>
      <c r="AJ19">
        <v>1.87737745E-2</v>
      </c>
      <c r="AK19">
        <v>9.7133123700000004E-2</v>
      </c>
      <c r="AL19">
        <v>2.7190145400000001E-2</v>
      </c>
      <c r="AM19">
        <v>-0.28686494299999998</v>
      </c>
      <c r="AN19">
        <v>4.3087936399999999E-2</v>
      </c>
      <c r="AO19">
        <v>-0.29043061799999997</v>
      </c>
      <c r="AP19">
        <v>5.0948602699999998E-2</v>
      </c>
      <c r="AQ19">
        <v>0.28939523449999999</v>
      </c>
      <c r="AR19">
        <v>9.799164999999999E-4</v>
      </c>
      <c r="AS19">
        <v>0.56501885819999997</v>
      </c>
      <c r="AT19">
        <v>1.5397026E-3</v>
      </c>
      <c r="AU19">
        <v>0.56719378359999995</v>
      </c>
      <c r="AV19">
        <v>1.8250745000000001E-3</v>
      </c>
      <c r="AW19">
        <v>0.56656222889999996</v>
      </c>
      <c r="AX19" t="b">
        <v>1</v>
      </c>
    </row>
    <row r="20" spans="1:50" x14ac:dyDescent="0.25">
      <c r="A20">
        <v>18</v>
      </c>
      <c r="B20">
        <v>1.9999980899999999E-2</v>
      </c>
      <c r="C20">
        <v>2.9999971399999999E-2</v>
      </c>
      <c r="D20">
        <v>4.9999952299999997E-2</v>
      </c>
      <c r="E20">
        <v>9.4783786100000003E-2</v>
      </c>
      <c r="F20">
        <v>0.14835879460000001</v>
      </c>
      <c r="G20">
        <v>0.1760519754</v>
      </c>
      <c r="H20">
        <v>-5.0483450800000003E-2</v>
      </c>
      <c r="I20">
        <v>-7.9018408299999995E-2</v>
      </c>
      <c r="J20">
        <v>9.3768265700000006E-2</v>
      </c>
      <c r="K20">
        <v>1.5797298E-3</v>
      </c>
      <c r="L20">
        <v>2.4726466E-3</v>
      </c>
      <c r="M20">
        <v>2.9341996E-3</v>
      </c>
      <c r="N20">
        <v>1.1472097299999999E-2</v>
      </c>
      <c r="O20">
        <v>1.6002276400000001E-2</v>
      </c>
      <c r="P20">
        <v>2.7474373699999999E-2</v>
      </c>
      <c r="Q20">
        <v>6.7593640699999999E-2</v>
      </c>
      <c r="R20">
        <v>0.1052708582</v>
      </c>
      <c r="S20">
        <v>0.12510337269999999</v>
      </c>
      <c r="T20">
        <v>-4.8458157299999999E-2</v>
      </c>
      <c r="U20">
        <v>-7.5469108500000007E-2</v>
      </c>
      <c r="V20">
        <v>8.9687119199999998E-2</v>
      </c>
      <c r="W20">
        <v>3.8772040000000001E-4</v>
      </c>
      <c r="X20">
        <v>6.0383880000000004E-4</v>
      </c>
      <c r="Y20">
        <v>7.1759910000000001E-4</v>
      </c>
      <c r="Z20">
        <v>8.5278835999999993E-3</v>
      </c>
      <c r="AA20">
        <v>0.42639458720000001</v>
      </c>
      <c r="AB20">
        <v>1.3997694999999999E-2</v>
      </c>
      <c r="AC20">
        <v>0.46659027809999998</v>
      </c>
      <c r="AD20">
        <v>2.2525578599999999E-2</v>
      </c>
      <c r="AE20">
        <v>0.45051200180000001</v>
      </c>
      <c r="AF20">
        <v>2.7190145400000001E-2</v>
      </c>
      <c r="AG20">
        <v>0.28686494299999998</v>
      </c>
      <c r="AH20">
        <v>4.3087936399999999E-2</v>
      </c>
      <c r="AI20">
        <v>0.29043061799999997</v>
      </c>
      <c r="AJ20">
        <v>5.0948602699999998E-2</v>
      </c>
      <c r="AK20">
        <v>0.28939523449999999</v>
      </c>
      <c r="AL20">
        <v>2.0252934999999998E-3</v>
      </c>
      <c r="AM20">
        <v>-4.0117968699999999E-2</v>
      </c>
      <c r="AN20">
        <v>3.5492998E-3</v>
      </c>
      <c r="AO20">
        <v>-4.4917379100000002E-2</v>
      </c>
      <c r="AP20">
        <v>4.0811464999999996E-3</v>
      </c>
      <c r="AQ20">
        <v>4.3523749399999999E-2</v>
      </c>
      <c r="AR20">
        <v>1.1920094000000001E-3</v>
      </c>
      <c r="AS20">
        <v>0.75456536929999996</v>
      </c>
      <c r="AT20">
        <v>1.8688077999999999E-3</v>
      </c>
      <c r="AU20">
        <v>0.75579251800000002</v>
      </c>
      <c r="AV20">
        <v>2.2166005000000002E-3</v>
      </c>
      <c r="AW20">
        <v>0.75543616729999996</v>
      </c>
      <c r="AX20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zoomScale="89" zoomScaleNormal="89" workbookViewId="0">
      <selection activeCell="V27" sqref="V27"/>
    </sheetView>
  </sheetViews>
  <sheetFormatPr defaultRowHeight="15" x14ac:dyDescent="0.25"/>
  <cols>
    <col min="12" max="12" width="17.7109375" bestFit="1" customWidth="1"/>
  </cols>
  <sheetData>
    <row r="1" spans="1:7" x14ac:dyDescent="0.25">
      <c r="A1" s="4"/>
      <c r="B1" s="4"/>
      <c r="C1" s="4"/>
      <c r="D1" s="4"/>
      <c r="E1" s="4"/>
      <c r="F1" s="6" t="str">
        <f>"(1)"</f>
        <v>(1)</v>
      </c>
    </row>
    <row r="2" spans="1:7" x14ac:dyDescent="0.25">
      <c r="A2" s="4"/>
      <c r="B2" s="4"/>
      <c r="C2" s="4"/>
      <c r="D2" s="4"/>
      <c r="E2" s="4"/>
      <c r="F2" s="6"/>
    </row>
    <row r="3" spans="1:7" x14ac:dyDescent="0.25">
      <c r="A3" s="4"/>
      <c r="B3" s="4"/>
      <c r="C3" s="4"/>
      <c r="D3" s="4"/>
      <c r="E3" s="4"/>
      <c r="F3" s="6"/>
    </row>
    <row r="4" spans="1:7" x14ac:dyDescent="0.25">
      <c r="A4" s="4"/>
      <c r="B4" s="4"/>
      <c r="C4" s="4"/>
      <c r="D4" s="4"/>
      <c r="E4" s="4"/>
      <c r="F4" s="6"/>
    </row>
    <row r="5" spans="1:7" x14ac:dyDescent="0.25">
      <c r="A5" s="2" t="s">
        <v>51</v>
      </c>
      <c r="B5" s="5" t="s">
        <v>53</v>
      </c>
      <c r="C5" s="5"/>
      <c r="D5" s="5" t="s">
        <v>52</v>
      </c>
      <c r="E5" s="5"/>
      <c r="F5" s="5" t="s">
        <v>54</v>
      </c>
      <c r="G5" s="5"/>
    </row>
    <row r="6" spans="1:7" ht="18" x14ac:dyDescent="0.35">
      <c r="A6" s="3" t="s">
        <v>50</v>
      </c>
      <c r="B6" s="3" t="s">
        <v>56</v>
      </c>
      <c r="C6" s="3" t="s">
        <v>55</v>
      </c>
      <c r="D6" s="3" t="s">
        <v>56</v>
      </c>
      <c r="E6" s="3" t="s">
        <v>55</v>
      </c>
      <c r="F6" s="3" t="s">
        <v>57</v>
      </c>
      <c r="G6" s="3" t="s">
        <v>58</v>
      </c>
    </row>
    <row r="7" spans="1:7" x14ac:dyDescent="0.25">
      <c r="A7" cm="1">
        <f t="array" ref="A7:A117">output!A2:A112</f>
        <v>0</v>
      </c>
      <c r="B7" cm="1">
        <f t="array" ref="B7:B117">output!M2:M112</f>
        <v>114.755239429</v>
      </c>
      <c r="C7" cm="1">
        <f t="array" ref="C7:C117">output!G2:G112</f>
        <v>50</v>
      </c>
      <c r="D7" cm="1">
        <f t="array" ref="D7:D117">output!Y2:Y112</f>
        <v>114.6261797551</v>
      </c>
      <c r="E7" cm="1">
        <f t="array" ref="E7:E117">output!S2:S112</f>
        <v>50</v>
      </c>
      <c r="F7" s="1" cm="1">
        <f t="array" ref="F7:F117">output!AW2:AW112</f>
        <v>1.1246517E-3</v>
      </c>
      <c r="G7" s="1" cm="1">
        <f t="array" ref="G7:G117">output!AK2:AK112</f>
        <v>0</v>
      </c>
    </row>
    <row r="8" spans="1:7" x14ac:dyDescent="0.25">
      <c r="A8">
        <v>1</v>
      </c>
      <c r="B8">
        <v>59.477367565400002</v>
      </c>
      <c r="C8">
        <v>35.913245759799999</v>
      </c>
      <c r="D8">
        <v>58.912293595500003</v>
      </c>
      <c r="E8">
        <v>35.845204354499998</v>
      </c>
      <c r="F8" s="1">
        <v>9.5006553000000007E-3</v>
      </c>
      <c r="G8" s="1">
        <v>1.8946047000000001E-3</v>
      </c>
    </row>
    <row r="9" spans="1:7" x14ac:dyDescent="0.25">
      <c r="A9">
        <v>2</v>
      </c>
      <c r="B9">
        <v>30.734126414199999</v>
      </c>
      <c r="C9">
        <v>25.786273065100001</v>
      </c>
      <c r="D9">
        <v>30.278059899799999</v>
      </c>
      <c r="E9">
        <v>25.697573504400001</v>
      </c>
      <c r="F9" s="1">
        <v>1.48390915E-2</v>
      </c>
      <c r="G9" s="1">
        <v>3.4397975999999999E-3</v>
      </c>
    </row>
    <row r="10" spans="1:7" x14ac:dyDescent="0.25">
      <c r="A10">
        <v>3</v>
      </c>
      <c r="B10">
        <v>15.8094650292</v>
      </c>
      <c r="C10">
        <v>18.4723483412</v>
      </c>
      <c r="D10">
        <v>15.561453396899999</v>
      </c>
      <c r="E10">
        <v>18.422695473600001</v>
      </c>
      <c r="F10" s="1">
        <v>1.5687541100000001E-2</v>
      </c>
      <c r="G10" s="1">
        <v>2.6879564000000002E-3</v>
      </c>
    </row>
    <row r="11" spans="1:7" x14ac:dyDescent="0.25">
      <c r="A11">
        <v>4</v>
      </c>
      <c r="B11">
        <v>8.2567207424000006</v>
      </c>
      <c r="C11">
        <v>13.315093728200001</v>
      </c>
      <c r="D11">
        <v>7.9978318499999999</v>
      </c>
      <c r="E11">
        <v>13.207305680199999</v>
      </c>
      <c r="F11" s="1">
        <v>3.1354928999999997E-2</v>
      </c>
      <c r="G11" s="1">
        <v>8.0951775999999996E-3</v>
      </c>
    </row>
    <row r="12" spans="1:7" x14ac:dyDescent="0.25">
      <c r="A12">
        <v>5</v>
      </c>
      <c r="B12">
        <v>4.2413206910000003</v>
      </c>
      <c r="C12">
        <v>9.5202498720000008</v>
      </c>
      <c r="D12">
        <v>4.1104974368000002</v>
      </c>
      <c r="E12">
        <v>9.4683714216000006</v>
      </c>
      <c r="F12" s="1">
        <v>3.08449334E-2</v>
      </c>
      <c r="G12" s="1">
        <v>5.4492739999999996E-3</v>
      </c>
    </row>
    <row r="13" spans="1:7" x14ac:dyDescent="0.25">
      <c r="A13">
        <v>6</v>
      </c>
      <c r="B13">
        <v>2.2304463552999998</v>
      </c>
      <c r="C13">
        <v>6.8719029669999996</v>
      </c>
      <c r="D13">
        <v>2.1125962004000001</v>
      </c>
      <c r="E13">
        <v>6.7879141701999997</v>
      </c>
      <c r="F13" s="1">
        <v>5.2837027299999999E-2</v>
      </c>
      <c r="G13" s="1">
        <v>1.2222057999999999E-2</v>
      </c>
    </row>
    <row r="14" spans="1:7" x14ac:dyDescent="0.25">
      <c r="A14">
        <v>7</v>
      </c>
      <c r="B14">
        <v>1.1312546594999999</v>
      </c>
      <c r="C14">
        <v>4.8759498159000003</v>
      </c>
      <c r="D14">
        <v>1.085771923</v>
      </c>
      <c r="E14">
        <v>4.8662834115000004</v>
      </c>
      <c r="F14" s="1">
        <v>4.0205568300000001E-2</v>
      </c>
      <c r="G14" s="1">
        <v>1.9824659E-3</v>
      </c>
    </row>
    <row r="15" spans="1:7" x14ac:dyDescent="0.25">
      <c r="A15">
        <v>8</v>
      </c>
      <c r="B15">
        <v>0.61530153070000004</v>
      </c>
      <c r="C15">
        <v>3.5631940963000002</v>
      </c>
      <c r="D15">
        <v>0.55803407589999998</v>
      </c>
      <c r="E15">
        <v>3.4886584666</v>
      </c>
      <c r="F15" s="1">
        <v>9.3072180000000004E-2</v>
      </c>
      <c r="G15" s="1">
        <v>2.09182064E-2</v>
      </c>
    </row>
    <row r="16" spans="1:7" x14ac:dyDescent="0.25">
      <c r="A16">
        <v>9</v>
      </c>
      <c r="B16">
        <v>0.31581461100000002</v>
      </c>
      <c r="C16">
        <v>2.5317431736999998</v>
      </c>
      <c r="D16">
        <v>0.28680243370000003</v>
      </c>
      <c r="E16">
        <v>2.5010335131999999</v>
      </c>
      <c r="F16" s="1">
        <v>9.1864582200000003E-2</v>
      </c>
      <c r="G16" s="1">
        <v>1.21298482E-2</v>
      </c>
    </row>
    <row r="17" spans="1:20" x14ac:dyDescent="0.25">
      <c r="A17">
        <v>10</v>
      </c>
      <c r="B17">
        <v>0.17920549559999999</v>
      </c>
      <c r="C17">
        <v>1.8753653137999999</v>
      </c>
      <c r="D17">
        <v>0.14740253240000001</v>
      </c>
      <c r="E17">
        <v>1.7930011476000001</v>
      </c>
      <c r="F17" s="1">
        <v>0.1774664504</v>
      </c>
      <c r="G17" s="1">
        <v>4.3918998399999999E-2</v>
      </c>
    </row>
    <row r="18" spans="1:20" x14ac:dyDescent="0.25">
      <c r="A18">
        <v>11</v>
      </c>
      <c r="B18">
        <v>8.2827521000000001E-2</v>
      </c>
      <c r="C18">
        <v>1.2553329401</v>
      </c>
      <c r="D18">
        <v>7.5757748200000002E-2</v>
      </c>
      <c r="E18">
        <v>1.2854098509</v>
      </c>
      <c r="F18" s="1">
        <v>8.53553591E-2</v>
      </c>
      <c r="G18" s="1">
        <v>2.3959309799999998E-2</v>
      </c>
    </row>
    <row r="19" spans="1:20" x14ac:dyDescent="0.25">
      <c r="A19">
        <v>12</v>
      </c>
      <c r="B19">
        <v>4.78411792E-2</v>
      </c>
      <c r="C19">
        <v>0.93768265689999997</v>
      </c>
      <c r="D19">
        <v>3.8935806099999998E-2</v>
      </c>
      <c r="E19">
        <v>0.92151557569999998</v>
      </c>
      <c r="F19" s="1">
        <v>0.18614451500000001</v>
      </c>
      <c r="G19" s="1">
        <v>1.7241527400000001E-2</v>
      </c>
    </row>
    <row r="20" spans="1:20" x14ac:dyDescent="0.25">
      <c r="A20">
        <v>13</v>
      </c>
      <c r="B20">
        <v>2.9916223799999999E-2</v>
      </c>
      <c r="C20">
        <v>0.72143473579999995</v>
      </c>
      <c r="D20">
        <v>2.00111148E-2</v>
      </c>
      <c r="E20">
        <v>0.66063828250000001</v>
      </c>
      <c r="F20" s="1">
        <v>0.3310948957</v>
      </c>
      <c r="G20" s="1">
        <v>8.4271591399999998E-2</v>
      </c>
    </row>
    <row r="21" spans="1:20" x14ac:dyDescent="0.25">
      <c r="A21">
        <v>14</v>
      </c>
      <c r="B21">
        <v>1.43523538E-2</v>
      </c>
      <c r="C21">
        <v>0.46884132849999999</v>
      </c>
      <c r="D21">
        <v>1.02847419E-2</v>
      </c>
      <c r="E21">
        <v>0.47361428490000002</v>
      </c>
      <c r="F21" s="1">
        <v>0.28341078800000002</v>
      </c>
      <c r="G21" s="1">
        <v>1.01803235E-2</v>
      </c>
    </row>
    <row r="22" spans="1:20" x14ac:dyDescent="0.25">
      <c r="A22">
        <v>15</v>
      </c>
      <c r="B22">
        <v>9.4725312000000002E-3</v>
      </c>
      <c r="C22">
        <v>0.37507306280000002</v>
      </c>
      <c r="D22">
        <v>5.2858582000000001E-3</v>
      </c>
      <c r="E22">
        <v>0.33953601649999998</v>
      </c>
      <c r="F22" s="1">
        <v>0.44198038639999998</v>
      </c>
      <c r="G22" s="1">
        <v>9.4746996900000005E-2</v>
      </c>
    </row>
    <row r="23" spans="1:20" x14ac:dyDescent="0.25">
      <c r="A23">
        <v>16</v>
      </c>
      <c r="B23">
        <v>5.9641038000000004E-3</v>
      </c>
      <c r="C23">
        <v>0.26982024110000002</v>
      </c>
      <c r="D23">
        <v>2.7166744999999998E-3</v>
      </c>
      <c r="E23">
        <v>0.24341475800000001</v>
      </c>
      <c r="F23" s="1">
        <v>0.54449577149999995</v>
      </c>
      <c r="G23" s="1">
        <v>9.7863240300000001E-2</v>
      </c>
    </row>
    <row r="24" spans="1:20" x14ac:dyDescent="0.25">
      <c r="A24">
        <v>17</v>
      </c>
      <c r="B24">
        <v>3.2213134000000001E-3</v>
      </c>
      <c r="C24">
        <v>0.19327880929999999</v>
      </c>
      <c r="D24">
        <v>1.3962389E-3</v>
      </c>
      <c r="E24">
        <v>0.17450503479999999</v>
      </c>
      <c r="F24" s="1">
        <v>0.56656222889999996</v>
      </c>
      <c r="G24" s="1">
        <v>9.7133123700000004E-2</v>
      </c>
    </row>
    <row r="25" spans="1:20" x14ac:dyDescent="0.25">
      <c r="A25">
        <v>18</v>
      </c>
      <c r="B25">
        <v>2.9341996E-3</v>
      </c>
      <c r="C25">
        <v>0.1760519754</v>
      </c>
      <c r="D25">
        <v>7.1759910000000001E-4</v>
      </c>
      <c r="E25">
        <v>0.12510337269999999</v>
      </c>
      <c r="F25" s="1">
        <v>0.75543616729999996</v>
      </c>
      <c r="G25" s="1">
        <v>0.28939523449999999</v>
      </c>
      <c r="T25" s="7"/>
    </row>
    <row r="26" spans="1:20" x14ac:dyDescent="0.25">
      <c r="A26">
        <v>0</v>
      </c>
      <c r="B26">
        <v>0</v>
      </c>
      <c r="C26">
        <v>0</v>
      </c>
      <c r="D26">
        <v>0</v>
      </c>
      <c r="E26">
        <v>0</v>
      </c>
      <c r="F26" s="1">
        <v>0</v>
      </c>
      <c r="G26" s="1">
        <v>0</v>
      </c>
    </row>
    <row r="27" spans="1:20" x14ac:dyDescent="0.25">
      <c r="A27">
        <v>0</v>
      </c>
      <c r="B27">
        <v>0</v>
      </c>
      <c r="C27">
        <v>0</v>
      </c>
      <c r="D27">
        <v>0</v>
      </c>
      <c r="E27">
        <v>0</v>
      </c>
      <c r="F27" s="1">
        <v>0</v>
      </c>
      <c r="G27" s="1">
        <v>0</v>
      </c>
    </row>
    <row r="28" spans="1:20" x14ac:dyDescent="0.25">
      <c r="A28">
        <v>0</v>
      </c>
      <c r="B28">
        <v>0</v>
      </c>
      <c r="C28">
        <v>0</v>
      </c>
      <c r="D28">
        <v>0</v>
      </c>
      <c r="E28">
        <v>0</v>
      </c>
      <c r="F28" s="1">
        <v>0</v>
      </c>
      <c r="G28" s="1">
        <v>0</v>
      </c>
    </row>
    <row r="29" spans="1:20" x14ac:dyDescent="0.25">
      <c r="A29">
        <v>0</v>
      </c>
      <c r="B29">
        <v>0</v>
      </c>
      <c r="C29">
        <v>0</v>
      </c>
      <c r="D29">
        <v>0</v>
      </c>
      <c r="E29">
        <v>0</v>
      </c>
      <c r="F29" s="1">
        <v>0</v>
      </c>
      <c r="G29" s="1">
        <v>0</v>
      </c>
    </row>
    <row r="30" spans="1:20" x14ac:dyDescent="0.25">
      <c r="A30">
        <v>0</v>
      </c>
      <c r="B30">
        <v>0</v>
      </c>
      <c r="C30">
        <v>0</v>
      </c>
      <c r="D30">
        <v>0</v>
      </c>
      <c r="E30">
        <v>0</v>
      </c>
      <c r="F30" s="1">
        <v>0</v>
      </c>
      <c r="G30" s="1">
        <v>0</v>
      </c>
    </row>
    <row r="31" spans="1:20" x14ac:dyDescent="0.25">
      <c r="A31">
        <v>0</v>
      </c>
      <c r="B31">
        <v>0</v>
      </c>
      <c r="C31">
        <v>0</v>
      </c>
      <c r="D31">
        <v>0</v>
      </c>
      <c r="E31">
        <v>0</v>
      </c>
      <c r="F31" s="1">
        <v>0</v>
      </c>
      <c r="G31" s="1">
        <v>0</v>
      </c>
    </row>
    <row r="32" spans="1:20" x14ac:dyDescent="0.25">
      <c r="A32">
        <v>0</v>
      </c>
      <c r="B32">
        <v>0</v>
      </c>
      <c r="C32">
        <v>0</v>
      </c>
      <c r="D32">
        <v>0</v>
      </c>
      <c r="E32">
        <v>0</v>
      </c>
      <c r="F32" s="1">
        <v>0</v>
      </c>
      <c r="G32" s="1">
        <v>0</v>
      </c>
    </row>
    <row r="33" spans="1:7" x14ac:dyDescent="0.25">
      <c r="A33">
        <v>0</v>
      </c>
      <c r="B33">
        <v>0</v>
      </c>
      <c r="C33">
        <v>0</v>
      </c>
      <c r="D33">
        <v>0</v>
      </c>
      <c r="E33">
        <v>0</v>
      </c>
      <c r="F33" s="1">
        <v>0</v>
      </c>
      <c r="G33" s="1">
        <v>0</v>
      </c>
    </row>
    <row r="34" spans="1:7" x14ac:dyDescent="0.25">
      <c r="A34">
        <v>0</v>
      </c>
      <c r="B34">
        <v>0</v>
      </c>
      <c r="C34">
        <v>0</v>
      </c>
      <c r="D34">
        <v>0</v>
      </c>
      <c r="E34">
        <v>0</v>
      </c>
      <c r="F34" s="1">
        <v>0</v>
      </c>
      <c r="G34" s="1">
        <v>0</v>
      </c>
    </row>
    <row r="35" spans="1:7" x14ac:dyDescent="0.25">
      <c r="A35">
        <v>0</v>
      </c>
      <c r="B35">
        <v>0</v>
      </c>
      <c r="C35">
        <v>0</v>
      </c>
      <c r="D35">
        <v>0</v>
      </c>
      <c r="E35">
        <v>0</v>
      </c>
      <c r="F35" s="1">
        <v>0</v>
      </c>
      <c r="G35" s="1">
        <v>0</v>
      </c>
    </row>
    <row r="36" spans="1:7" x14ac:dyDescent="0.25">
      <c r="A36">
        <v>0</v>
      </c>
      <c r="B36">
        <v>0</v>
      </c>
      <c r="C36">
        <v>0</v>
      </c>
      <c r="D36">
        <v>0</v>
      </c>
      <c r="E36">
        <v>0</v>
      </c>
      <c r="F36" s="1">
        <v>0</v>
      </c>
      <c r="G36" s="1">
        <v>0</v>
      </c>
    </row>
    <row r="37" spans="1:7" x14ac:dyDescent="0.25">
      <c r="A37">
        <v>0</v>
      </c>
      <c r="B37">
        <v>0</v>
      </c>
      <c r="C37">
        <v>0</v>
      </c>
      <c r="D37">
        <v>0</v>
      </c>
      <c r="E37">
        <v>0</v>
      </c>
      <c r="F37" s="1">
        <v>0</v>
      </c>
      <c r="G37" s="1">
        <v>0</v>
      </c>
    </row>
    <row r="38" spans="1:7" x14ac:dyDescent="0.25">
      <c r="A38">
        <v>0</v>
      </c>
      <c r="B38">
        <v>0</v>
      </c>
      <c r="C38">
        <v>0</v>
      </c>
      <c r="D38">
        <v>0</v>
      </c>
      <c r="E38">
        <v>0</v>
      </c>
      <c r="F38" s="1">
        <v>0</v>
      </c>
      <c r="G38" s="1">
        <v>0</v>
      </c>
    </row>
    <row r="39" spans="1:7" x14ac:dyDescent="0.25">
      <c r="A39">
        <v>0</v>
      </c>
      <c r="B39">
        <v>0</v>
      </c>
      <c r="C39">
        <v>0</v>
      </c>
      <c r="D39">
        <v>0</v>
      </c>
      <c r="E39">
        <v>0</v>
      </c>
      <c r="F39" s="1">
        <v>0</v>
      </c>
      <c r="G39" s="1">
        <v>0</v>
      </c>
    </row>
    <row r="40" spans="1:7" x14ac:dyDescent="0.25">
      <c r="A40">
        <v>0</v>
      </c>
      <c r="B40">
        <v>0</v>
      </c>
      <c r="C40">
        <v>0</v>
      </c>
      <c r="D40">
        <v>0</v>
      </c>
      <c r="E40">
        <v>0</v>
      </c>
      <c r="F40" s="1">
        <v>0</v>
      </c>
      <c r="G40" s="1">
        <v>0</v>
      </c>
    </row>
    <row r="41" spans="1:7" x14ac:dyDescent="0.25">
      <c r="A41">
        <v>0</v>
      </c>
      <c r="B41">
        <v>0</v>
      </c>
      <c r="C41">
        <v>0</v>
      </c>
      <c r="D41">
        <v>0</v>
      </c>
      <c r="E41">
        <v>0</v>
      </c>
      <c r="F41" s="1">
        <v>0</v>
      </c>
      <c r="G41" s="1">
        <v>0</v>
      </c>
    </row>
    <row r="42" spans="1:7" x14ac:dyDescent="0.25">
      <c r="A42">
        <v>0</v>
      </c>
      <c r="B42">
        <v>0</v>
      </c>
      <c r="C42">
        <v>0</v>
      </c>
      <c r="D42">
        <v>0</v>
      </c>
      <c r="E42">
        <v>0</v>
      </c>
      <c r="F42" s="1">
        <v>0</v>
      </c>
      <c r="G42" s="1">
        <v>0</v>
      </c>
    </row>
    <row r="43" spans="1:7" x14ac:dyDescent="0.25">
      <c r="A43">
        <v>0</v>
      </c>
      <c r="B43">
        <v>0</v>
      </c>
      <c r="C43">
        <v>0</v>
      </c>
      <c r="D43">
        <v>0</v>
      </c>
      <c r="E43">
        <v>0</v>
      </c>
      <c r="F43" s="1">
        <v>0</v>
      </c>
      <c r="G43" s="1">
        <v>0</v>
      </c>
    </row>
    <row r="44" spans="1:7" x14ac:dyDescent="0.25">
      <c r="A44">
        <v>0</v>
      </c>
      <c r="B44">
        <v>0</v>
      </c>
      <c r="C44">
        <v>0</v>
      </c>
      <c r="D44">
        <v>0</v>
      </c>
      <c r="E44">
        <v>0</v>
      </c>
      <c r="F44" s="1">
        <v>0</v>
      </c>
      <c r="G44" s="1">
        <v>0</v>
      </c>
    </row>
    <row r="45" spans="1:7" x14ac:dyDescent="0.25">
      <c r="A45">
        <v>0</v>
      </c>
      <c r="B45">
        <v>0</v>
      </c>
      <c r="C45">
        <v>0</v>
      </c>
      <c r="D45">
        <v>0</v>
      </c>
      <c r="E45">
        <v>0</v>
      </c>
      <c r="F45" s="1">
        <v>0</v>
      </c>
      <c r="G45" s="1">
        <v>0</v>
      </c>
    </row>
    <row r="46" spans="1:7" x14ac:dyDescent="0.25">
      <c r="A46">
        <v>0</v>
      </c>
      <c r="B46">
        <v>0</v>
      </c>
      <c r="C46">
        <v>0</v>
      </c>
      <c r="D46">
        <v>0</v>
      </c>
      <c r="E46">
        <v>0</v>
      </c>
      <c r="F46" s="1">
        <v>0</v>
      </c>
      <c r="G46" s="1">
        <v>0</v>
      </c>
    </row>
    <row r="47" spans="1:7" x14ac:dyDescent="0.25">
      <c r="A47">
        <v>0</v>
      </c>
      <c r="B47">
        <v>0</v>
      </c>
      <c r="C47">
        <v>0</v>
      </c>
      <c r="D47">
        <v>0</v>
      </c>
      <c r="E47">
        <v>0</v>
      </c>
      <c r="F47" s="1">
        <v>0</v>
      </c>
      <c r="G47" s="1">
        <v>0</v>
      </c>
    </row>
    <row r="48" spans="1:7" x14ac:dyDescent="0.25">
      <c r="A48">
        <v>0</v>
      </c>
      <c r="B48">
        <v>0</v>
      </c>
      <c r="C48">
        <v>0</v>
      </c>
      <c r="D48">
        <v>0</v>
      </c>
      <c r="E48">
        <v>0</v>
      </c>
      <c r="F48" s="1">
        <v>0</v>
      </c>
      <c r="G48" s="1">
        <v>0</v>
      </c>
    </row>
    <row r="49" spans="1:7" x14ac:dyDescent="0.25">
      <c r="A49">
        <v>0</v>
      </c>
      <c r="B49">
        <v>0</v>
      </c>
      <c r="C49">
        <v>0</v>
      </c>
      <c r="D49">
        <v>0</v>
      </c>
      <c r="E49">
        <v>0</v>
      </c>
      <c r="F49" s="1">
        <v>0</v>
      </c>
      <c r="G49" s="1">
        <v>0</v>
      </c>
    </row>
    <row r="50" spans="1:7" x14ac:dyDescent="0.25">
      <c r="A50">
        <v>0</v>
      </c>
      <c r="B50">
        <v>0</v>
      </c>
      <c r="C50">
        <v>0</v>
      </c>
      <c r="D50">
        <v>0</v>
      </c>
      <c r="E50">
        <v>0</v>
      </c>
      <c r="F50" s="1">
        <v>0</v>
      </c>
      <c r="G50" s="1">
        <v>0</v>
      </c>
    </row>
    <row r="51" spans="1:7" x14ac:dyDescent="0.25">
      <c r="A51">
        <v>0</v>
      </c>
      <c r="B51">
        <v>0</v>
      </c>
      <c r="C51">
        <v>0</v>
      </c>
      <c r="D51">
        <v>0</v>
      </c>
      <c r="E51">
        <v>0</v>
      </c>
      <c r="F51" s="1">
        <v>0</v>
      </c>
      <c r="G51" s="1">
        <v>0</v>
      </c>
    </row>
    <row r="52" spans="1:7" x14ac:dyDescent="0.25">
      <c r="A52">
        <v>0</v>
      </c>
      <c r="B52">
        <v>0</v>
      </c>
      <c r="C52">
        <v>0</v>
      </c>
      <c r="D52">
        <v>0</v>
      </c>
      <c r="E52">
        <v>0</v>
      </c>
      <c r="F52" s="1">
        <v>0</v>
      </c>
      <c r="G52" s="1">
        <v>0</v>
      </c>
    </row>
    <row r="53" spans="1:7" x14ac:dyDescent="0.25">
      <c r="A53">
        <v>0</v>
      </c>
      <c r="B53">
        <v>0</v>
      </c>
      <c r="C53">
        <v>0</v>
      </c>
      <c r="D53">
        <v>0</v>
      </c>
      <c r="E53">
        <v>0</v>
      </c>
      <c r="F53" s="1">
        <v>0</v>
      </c>
      <c r="G53" s="1">
        <v>0</v>
      </c>
    </row>
    <row r="54" spans="1:7" x14ac:dyDescent="0.25">
      <c r="A54">
        <v>0</v>
      </c>
      <c r="B54">
        <v>0</v>
      </c>
      <c r="C54">
        <v>0</v>
      </c>
      <c r="D54">
        <v>0</v>
      </c>
      <c r="E54">
        <v>0</v>
      </c>
      <c r="F54" s="1">
        <v>0</v>
      </c>
      <c r="G54" s="1">
        <v>0</v>
      </c>
    </row>
    <row r="55" spans="1:7" x14ac:dyDescent="0.25">
      <c r="A55">
        <v>0</v>
      </c>
      <c r="B55">
        <v>0</v>
      </c>
      <c r="C55">
        <v>0</v>
      </c>
      <c r="D55">
        <v>0</v>
      </c>
      <c r="E55">
        <v>0</v>
      </c>
      <c r="F55" s="1">
        <v>0</v>
      </c>
      <c r="G55" s="1">
        <v>0</v>
      </c>
    </row>
    <row r="56" spans="1:7" x14ac:dyDescent="0.25">
      <c r="A56">
        <v>0</v>
      </c>
      <c r="B56">
        <v>0</v>
      </c>
      <c r="C56">
        <v>0</v>
      </c>
      <c r="D56">
        <v>0</v>
      </c>
      <c r="E56">
        <v>0</v>
      </c>
      <c r="F56" s="1">
        <v>0</v>
      </c>
      <c r="G56" s="1">
        <v>0</v>
      </c>
    </row>
    <row r="57" spans="1:7" x14ac:dyDescent="0.25">
      <c r="A57">
        <v>0</v>
      </c>
      <c r="B57">
        <v>0</v>
      </c>
      <c r="C57">
        <v>0</v>
      </c>
      <c r="D57">
        <v>0</v>
      </c>
      <c r="E57">
        <v>0</v>
      </c>
      <c r="F57" s="1">
        <v>0</v>
      </c>
      <c r="G57" s="1">
        <v>0</v>
      </c>
    </row>
    <row r="58" spans="1:7" x14ac:dyDescent="0.25">
      <c r="A58">
        <v>0</v>
      </c>
      <c r="B58">
        <v>0</v>
      </c>
      <c r="C58">
        <v>0</v>
      </c>
      <c r="D58">
        <v>0</v>
      </c>
      <c r="E58">
        <v>0</v>
      </c>
      <c r="F58" s="1">
        <v>0</v>
      </c>
      <c r="G58" s="1">
        <v>0</v>
      </c>
    </row>
    <row r="59" spans="1:7" x14ac:dyDescent="0.25">
      <c r="A59">
        <v>0</v>
      </c>
      <c r="B59">
        <v>0</v>
      </c>
      <c r="C59">
        <v>0</v>
      </c>
      <c r="D59">
        <v>0</v>
      </c>
      <c r="E59">
        <v>0</v>
      </c>
      <c r="F59" s="1">
        <v>0</v>
      </c>
      <c r="G59" s="1">
        <v>0</v>
      </c>
    </row>
    <row r="60" spans="1:7" x14ac:dyDescent="0.25">
      <c r="A60">
        <v>0</v>
      </c>
      <c r="B60">
        <v>0</v>
      </c>
      <c r="C60">
        <v>0</v>
      </c>
      <c r="D60">
        <v>0</v>
      </c>
      <c r="E60">
        <v>0</v>
      </c>
      <c r="F60" s="1">
        <v>0</v>
      </c>
      <c r="G60" s="1">
        <v>0</v>
      </c>
    </row>
    <row r="61" spans="1:7" x14ac:dyDescent="0.25">
      <c r="A61">
        <v>0</v>
      </c>
      <c r="B61">
        <v>0</v>
      </c>
      <c r="C61">
        <v>0</v>
      </c>
      <c r="D61">
        <v>0</v>
      </c>
      <c r="E61">
        <v>0</v>
      </c>
      <c r="F61" s="1">
        <v>0</v>
      </c>
      <c r="G61" s="1">
        <v>0</v>
      </c>
    </row>
    <row r="62" spans="1:7" x14ac:dyDescent="0.25">
      <c r="A62">
        <v>0</v>
      </c>
      <c r="B62">
        <v>0</v>
      </c>
      <c r="C62">
        <v>0</v>
      </c>
      <c r="D62">
        <v>0</v>
      </c>
      <c r="E62">
        <v>0</v>
      </c>
      <c r="F62" s="1">
        <v>0</v>
      </c>
      <c r="G62" s="1">
        <v>0</v>
      </c>
    </row>
    <row r="63" spans="1:7" x14ac:dyDescent="0.25">
      <c r="A63">
        <v>0</v>
      </c>
      <c r="B63">
        <v>0</v>
      </c>
      <c r="C63">
        <v>0</v>
      </c>
      <c r="D63">
        <v>0</v>
      </c>
      <c r="E63">
        <v>0</v>
      </c>
      <c r="F63" s="1">
        <v>0</v>
      </c>
      <c r="G63" s="1">
        <v>0</v>
      </c>
    </row>
    <row r="64" spans="1:7" x14ac:dyDescent="0.25">
      <c r="A64">
        <v>0</v>
      </c>
      <c r="B64">
        <v>0</v>
      </c>
      <c r="C64">
        <v>0</v>
      </c>
      <c r="D64">
        <v>0</v>
      </c>
      <c r="E64">
        <v>0</v>
      </c>
      <c r="F64" s="1">
        <v>0</v>
      </c>
      <c r="G64" s="1">
        <v>0</v>
      </c>
    </row>
    <row r="65" spans="1:7" x14ac:dyDescent="0.25">
      <c r="A65">
        <v>0</v>
      </c>
      <c r="B65">
        <v>0</v>
      </c>
      <c r="C65">
        <v>0</v>
      </c>
      <c r="D65">
        <v>0</v>
      </c>
      <c r="E65">
        <v>0</v>
      </c>
      <c r="F65" s="1">
        <v>0</v>
      </c>
      <c r="G65" s="1">
        <v>0</v>
      </c>
    </row>
    <row r="66" spans="1:7" x14ac:dyDescent="0.25">
      <c r="A66">
        <v>0</v>
      </c>
      <c r="B66">
        <v>0</v>
      </c>
      <c r="C66">
        <v>0</v>
      </c>
      <c r="D66">
        <v>0</v>
      </c>
      <c r="E66">
        <v>0</v>
      </c>
      <c r="F66" s="1">
        <v>0</v>
      </c>
      <c r="G66" s="1">
        <v>0</v>
      </c>
    </row>
    <row r="67" spans="1:7" x14ac:dyDescent="0.25">
      <c r="A67">
        <v>0</v>
      </c>
      <c r="B67">
        <v>0</v>
      </c>
      <c r="C67">
        <v>0</v>
      </c>
      <c r="D67">
        <v>0</v>
      </c>
      <c r="E67">
        <v>0</v>
      </c>
      <c r="F67" s="1">
        <v>0</v>
      </c>
      <c r="G67" s="1">
        <v>0</v>
      </c>
    </row>
    <row r="68" spans="1:7" x14ac:dyDescent="0.25">
      <c r="A68">
        <v>0</v>
      </c>
      <c r="B68">
        <v>0</v>
      </c>
      <c r="C68">
        <v>0</v>
      </c>
      <c r="D68">
        <v>0</v>
      </c>
      <c r="E68">
        <v>0</v>
      </c>
      <c r="F68" s="1">
        <v>0</v>
      </c>
      <c r="G68" s="1">
        <v>0</v>
      </c>
    </row>
    <row r="69" spans="1:7" x14ac:dyDescent="0.25">
      <c r="A69">
        <v>0</v>
      </c>
      <c r="B69">
        <v>0</v>
      </c>
      <c r="C69">
        <v>0</v>
      </c>
      <c r="D69">
        <v>0</v>
      </c>
      <c r="E69">
        <v>0</v>
      </c>
      <c r="F69" s="1">
        <v>0</v>
      </c>
      <c r="G69" s="1">
        <v>0</v>
      </c>
    </row>
    <row r="70" spans="1:7" x14ac:dyDescent="0.25">
      <c r="A70">
        <v>0</v>
      </c>
      <c r="B70">
        <v>0</v>
      </c>
      <c r="C70">
        <v>0</v>
      </c>
      <c r="D70">
        <v>0</v>
      </c>
      <c r="E70">
        <v>0</v>
      </c>
      <c r="F70" s="1">
        <v>0</v>
      </c>
      <c r="G70" s="1">
        <v>0</v>
      </c>
    </row>
    <row r="71" spans="1:7" x14ac:dyDescent="0.25">
      <c r="A71">
        <v>0</v>
      </c>
      <c r="B71">
        <v>0</v>
      </c>
      <c r="C71">
        <v>0</v>
      </c>
      <c r="D71">
        <v>0</v>
      </c>
      <c r="E71">
        <v>0</v>
      </c>
      <c r="F71" s="1">
        <v>0</v>
      </c>
      <c r="G71" s="1">
        <v>0</v>
      </c>
    </row>
    <row r="72" spans="1:7" x14ac:dyDescent="0.25">
      <c r="A72">
        <v>0</v>
      </c>
      <c r="B72">
        <v>0</v>
      </c>
      <c r="C72">
        <v>0</v>
      </c>
      <c r="D72">
        <v>0</v>
      </c>
      <c r="E72">
        <v>0</v>
      </c>
      <c r="F72" s="1">
        <v>0</v>
      </c>
      <c r="G72" s="1">
        <v>0</v>
      </c>
    </row>
    <row r="73" spans="1:7" x14ac:dyDescent="0.25">
      <c r="A73">
        <v>0</v>
      </c>
      <c r="B73">
        <v>0</v>
      </c>
      <c r="C73">
        <v>0</v>
      </c>
      <c r="D73">
        <v>0</v>
      </c>
      <c r="E73">
        <v>0</v>
      </c>
      <c r="F73" s="1">
        <v>0</v>
      </c>
      <c r="G73" s="1">
        <v>0</v>
      </c>
    </row>
    <row r="74" spans="1:7" x14ac:dyDescent="0.25">
      <c r="A74">
        <v>0</v>
      </c>
      <c r="B74">
        <v>0</v>
      </c>
      <c r="C74">
        <v>0</v>
      </c>
      <c r="D74">
        <v>0</v>
      </c>
      <c r="E74">
        <v>0</v>
      </c>
      <c r="F74" s="1">
        <v>0</v>
      </c>
      <c r="G74" s="1">
        <v>0</v>
      </c>
    </row>
    <row r="75" spans="1:7" x14ac:dyDescent="0.25">
      <c r="A75">
        <v>0</v>
      </c>
      <c r="B75">
        <v>0</v>
      </c>
      <c r="C75">
        <v>0</v>
      </c>
      <c r="D75">
        <v>0</v>
      </c>
      <c r="E75">
        <v>0</v>
      </c>
      <c r="F75" s="1">
        <v>0</v>
      </c>
      <c r="G75" s="1">
        <v>0</v>
      </c>
    </row>
    <row r="76" spans="1:7" x14ac:dyDescent="0.25">
      <c r="A76">
        <v>0</v>
      </c>
      <c r="B76">
        <v>0</v>
      </c>
      <c r="C76">
        <v>0</v>
      </c>
      <c r="D76">
        <v>0</v>
      </c>
      <c r="E76">
        <v>0</v>
      </c>
      <c r="F76" s="1">
        <v>0</v>
      </c>
      <c r="G76" s="1">
        <v>0</v>
      </c>
    </row>
    <row r="77" spans="1:7" x14ac:dyDescent="0.25">
      <c r="A77">
        <v>0</v>
      </c>
      <c r="B77">
        <v>0</v>
      </c>
      <c r="C77">
        <v>0</v>
      </c>
      <c r="D77">
        <v>0</v>
      </c>
      <c r="E77">
        <v>0</v>
      </c>
      <c r="F77" s="1">
        <v>0</v>
      </c>
      <c r="G77" s="1">
        <v>0</v>
      </c>
    </row>
    <row r="78" spans="1:7" x14ac:dyDescent="0.25">
      <c r="A78">
        <v>0</v>
      </c>
      <c r="B78">
        <v>0</v>
      </c>
      <c r="C78">
        <v>0</v>
      </c>
      <c r="D78">
        <v>0</v>
      </c>
      <c r="E78">
        <v>0</v>
      </c>
      <c r="F78" s="1">
        <v>0</v>
      </c>
      <c r="G78" s="1">
        <v>0</v>
      </c>
    </row>
    <row r="79" spans="1:7" x14ac:dyDescent="0.25">
      <c r="A79">
        <v>0</v>
      </c>
      <c r="B79">
        <v>0</v>
      </c>
      <c r="C79">
        <v>0</v>
      </c>
      <c r="D79">
        <v>0</v>
      </c>
      <c r="E79">
        <v>0</v>
      </c>
      <c r="F79" s="1">
        <v>0</v>
      </c>
      <c r="G79" s="1">
        <v>0</v>
      </c>
    </row>
    <row r="80" spans="1:7" x14ac:dyDescent="0.25">
      <c r="A80">
        <v>0</v>
      </c>
      <c r="B80">
        <v>0</v>
      </c>
      <c r="C80">
        <v>0</v>
      </c>
      <c r="D80">
        <v>0</v>
      </c>
      <c r="E80">
        <v>0</v>
      </c>
      <c r="F80" s="1">
        <v>0</v>
      </c>
      <c r="G80" s="1">
        <v>0</v>
      </c>
    </row>
    <row r="81" spans="1:7" x14ac:dyDescent="0.25">
      <c r="A81">
        <v>0</v>
      </c>
      <c r="B81">
        <v>0</v>
      </c>
      <c r="C81">
        <v>0</v>
      </c>
      <c r="D81">
        <v>0</v>
      </c>
      <c r="E81">
        <v>0</v>
      </c>
      <c r="F81" s="1">
        <v>0</v>
      </c>
      <c r="G81" s="1">
        <v>0</v>
      </c>
    </row>
    <row r="82" spans="1:7" x14ac:dyDescent="0.25">
      <c r="A82">
        <v>0</v>
      </c>
      <c r="B82">
        <v>0</v>
      </c>
      <c r="C82">
        <v>0</v>
      </c>
      <c r="D82">
        <v>0</v>
      </c>
      <c r="E82">
        <v>0</v>
      </c>
      <c r="F82" s="1">
        <v>0</v>
      </c>
      <c r="G82" s="1">
        <v>0</v>
      </c>
    </row>
    <row r="83" spans="1:7" x14ac:dyDescent="0.25">
      <c r="A83">
        <v>0</v>
      </c>
      <c r="B83">
        <v>0</v>
      </c>
      <c r="C83">
        <v>0</v>
      </c>
      <c r="D83">
        <v>0</v>
      </c>
      <c r="E83">
        <v>0</v>
      </c>
      <c r="F83" s="1">
        <v>0</v>
      </c>
      <c r="G83" s="1">
        <v>0</v>
      </c>
    </row>
    <row r="84" spans="1:7" x14ac:dyDescent="0.25">
      <c r="A84">
        <v>0</v>
      </c>
      <c r="B84">
        <v>0</v>
      </c>
      <c r="C84">
        <v>0</v>
      </c>
      <c r="D84">
        <v>0</v>
      </c>
      <c r="E84">
        <v>0</v>
      </c>
      <c r="F84" s="1">
        <v>0</v>
      </c>
      <c r="G84" s="1">
        <v>0</v>
      </c>
    </row>
    <row r="85" spans="1:7" x14ac:dyDescent="0.25">
      <c r="A85">
        <v>0</v>
      </c>
      <c r="B85">
        <v>0</v>
      </c>
      <c r="C85">
        <v>0</v>
      </c>
      <c r="D85">
        <v>0</v>
      </c>
      <c r="E85">
        <v>0</v>
      </c>
      <c r="F85" s="1">
        <v>0</v>
      </c>
      <c r="G85" s="1">
        <v>0</v>
      </c>
    </row>
    <row r="86" spans="1:7" x14ac:dyDescent="0.25">
      <c r="A86">
        <v>0</v>
      </c>
      <c r="B86">
        <v>0</v>
      </c>
      <c r="C86">
        <v>0</v>
      </c>
      <c r="D86">
        <v>0</v>
      </c>
      <c r="E86">
        <v>0</v>
      </c>
      <c r="F86" s="1">
        <v>0</v>
      </c>
      <c r="G86" s="1">
        <v>0</v>
      </c>
    </row>
    <row r="87" spans="1:7" x14ac:dyDescent="0.25">
      <c r="A87">
        <v>0</v>
      </c>
      <c r="B87">
        <v>0</v>
      </c>
      <c r="C87">
        <v>0</v>
      </c>
      <c r="D87">
        <v>0</v>
      </c>
      <c r="E87">
        <v>0</v>
      </c>
      <c r="F87" s="1">
        <v>0</v>
      </c>
      <c r="G87" s="1">
        <v>0</v>
      </c>
    </row>
    <row r="88" spans="1:7" x14ac:dyDescent="0.25">
      <c r="A88">
        <v>0</v>
      </c>
      <c r="B88">
        <v>0</v>
      </c>
      <c r="C88">
        <v>0</v>
      </c>
      <c r="D88">
        <v>0</v>
      </c>
      <c r="E88">
        <v>0</v>
      </c>
      <c r="F88" s="1">
        <v>0</v>
      </c>
      <c r="G88" s="1">
        <v>0</v>
      </c>
    </row>
    <row r="89" spans="1:7" x14ac:dyDescent="0.25">
      <c r="A89">
        <v>0</v>
      </c>
      <c r="B89">
        <v>0</v>
      </c>
      <c r="C89">
        <v>0</v>
      </c>
      <c r="D89">
        <v>0</v>
      </c>
      <c r="E89">
        <v>0</v>
      </c>
      <c r="F89" s="1">
        <v>0</v>
      </c>
      <c r="G89" s="1">
        <v>0</v>
      </c>
    </row>
    <row r="90" spans="1:7" x14ac:dyDescent="0.25">
      <c r="A90">
        <v>0</v>
      </c>
      <c r="B90">
        <v>0</v>
      </c>
      <c r="C90">
        <v>0</v>
      </c>
      <c r="D90">
        <v>0</v>
      </c>
      <c r="E90">
        <v>0</v>
      </c>
      <c r="F90" s="1">
        <v>0</v>
      </c>
      <c r="G90" s="1">
        <v>0</v>
      </c>
    </row>
    <row r="91" spans="1:7" x14ac:dyDescent="0.25">
      <c r="A91">
        <v>0</v>
      </c>
      <c r="B91">
        <v>0</v>
      </c>
      <c r="C91">
        <v>0</v>
      </c>
      <c r="D91">
        <v>0</v>
      </c>
      <c r="E91">
        <v>0</v>
      </c>
      <c r="F91" s="1">
        <v>0</v>
      </c>
      <c r="G91" s="1">
        <v>0</v>
      </c>
    </row>
    <row r="92" spans="1:7" x14ac:dyDescent="0.25">
      <c r="A92">
        <v>0</v>
      </c>
      <c r="B92">
        <v>0</v>
      </c>
      <c r="C92">
        <v>0</v>
      </c>
      <c r="D92">
        <v>0</v>
      </c>
      <c r="E92">
        <v>0</v>
      </c>
      <c r="F92" s="1">
        <v>0</v>
      </c>
      <c r="G92" s="1">
        <v>0</v>
      </c>
    </row>
    <row r="93" spans="1:7" x14ac:dyDescent="0.25">
      <c r="A93">
        <v>0</v>
      </c>
      <c r="B93">
        <v>0</v>
      </c>
      <c r="C93">
        <v>0</v>
      </c>
      <c r="D93">
        <v>0</v>
      </c>
      <c r="E93">
        <v>0</v>
      </c>
      <c r="F93" s="1">
        <v>0</v>
      </c>
      <c r="G93" s="1">
        <v>0</v>
      </c>
    </row>
    <row r="94" spans="1:7" x14ac:dyDescent="0.25">
      <c r="A94">
        <v>0</v>
      </c>
      <c r="B94">
        <v>0</v>
      </c>
      <c r="C94">
        <v>0</v>
      </c>
      <c r="D94">
        <v>0</v>
      </c>
      <c r="E94">
        <v>0</v>
      </c>
      <c r="F94" s="1">
        <v>0</v>
      </c>
      <c r="G94" s="1">
        <v>0</v>
      </c>
    </row>
    <row r="95" spans="1:7" x14ac:dyDescent="0.25">
      <c r="A95">
        <v>0</v>
      </c>
      <c r="B95">
        <v>0</v>
      </c>
      <c r="C95">
        <v>0</v>
      </c>
      <c r="D95">
        <v>0</v>
      </c>
      <c r="E95">
        <v>0</v>
      </c>
      <c r="F95" s="1">
        <v>0</v>
      </c>
      <c r="G95" s="1">
        <v>0</v>
      </c>
    </row>
    <row r="96" spans="1:7" x14ac:dyDescent="0.25">
      <c r="A96">
        <v>0</v>
      </c>
      <c r="B96">
        <v>0</v>
      </c>
      <c r="C96">
        <v>0</v>
      </c>
      <c r="D96">
        <v>0</v>
      </c>
      <c r="E96">
        <v>0</v>
      </c>
      <c r="F96" s="1">
        <v>0</v>
      </c>
      <c r="G96" s="1">
        <v>0</v>
      </c>
    </row>
    <row r="97" spans="1:7" x14ac:dyDescent="0.25">
      <c r="A97">
        <v>0</v>
      </c>
      <c r="B97">
        <v>0</v>
      </c>
      <c r="C97">
        <v>0</v>
      </c>
      <c r="D97">
        <v>0</v>
      </c>
      <c r="E97">
        <v>0</v>
      </c>
      <c r="F97" s="1">
        <v>0</v>
      </c>
      <c r="G97" s="1">
        <v>0</v>
      </c>
    </row>
    <row r="98" spans="1:7" x14ac:dyDescent="0.25">
      <c r="A98">
        <v>0</v>
      </c>
      <c r="B98">
        <v>0</v>
      </c>
      <c r="C98">
        <v>0</v>
      </c>
      <c r="D98">
        <v>0</v>
      </c>
      <c r="E98">
        <v>0</v>
      </c>
      <c r="F98" s="1">
        <v>0</v>
      </c>
      <c r="G98" s="1">
        <v>0</v>
      </c>
    </row>
    <row r="99" spans="1:7" x14ac:dyDescent="0.25">
      <c r="A99">
        <v>0</v>
      </c>
      <c r="B99">
        <v>0</v>
      </c>
      <c r="C99">
        <v>0</v>
      </c>
      <c r="D99">
        <v>0</v>
      </c>
      <c r="E99">
        <v>0</v>
      </c>
      <c r="F99" s="1">
        <v>0</v>
      </c>
      <c r="G99" s="1">
        <v>0</v>
      </c>
    </row>
    <row r="100" spans="1:7" x14ac:dyDescent="0.25">
      <c r="A100">
        <v>0</v>
      </c>
      <c r="B100">
        <v>0</v>
      </c>
      <c r="C100">
        <v>0</v>
      </c>
      <c r="D100">
        <v>0</v>
      </c>
      <c r="E100">
        <v>0</v>
      </c>
      <c r="F100" s="1">
        <v>0</v>
      </c>
      <c r="G100" s="1">
        <v>0</v>
      </c>
    </row>
    <row r="101" spans="1:7" x14ac:dyDescent="0.25">
      <c r="A101">
        <v>0</v>
      </c>
      <c r="B101">
        <v>0</v>
      </c>
      <c r="C101">
        <v>0</v>
      </c>
      <c r="D101">
        <v>0</v>
      </c>
      <c r="E101">
        <v>0</v>
      </c>
      <c r="F101" s="1">
        <v>0</v>
      </c>
      <c r="G101" s="1">
        <v>0</v>
      </c>
    </row>
    <row r="102" spans="1:7" x14ac:dyDescent="0.25">
      <c r="A102">
        <v>0</v>
      </c>
      <c r="B102">
        <v>0</v>
      </c>
      <c r="C102">
        <v>0</v>
      </c>
      <c r="D102">
        <v>0</v>
      </c>
      <c r="E102">
        <v>0</v>
      </c>
      <c r="F102" s="1">
        <v>0</v>
      </c>
      <c r="G102" s="1">
        <v>0</v>
      </c>
    </row>
    <row r="103" spans="1:7" x14ac:dyDescent="0.25">
      <c r="A103">
        <v>0</v>
      </c>
      <c r="B103">
        <v>0</v>
      </c>
      <c r="C103">
        <v>0</v>
      </c>
      <c r="D103">
        <v>0</v>
      </c>
      <c r="E103">
        <v>0</v>
      </c>
      <c r="F103" s="1">
        <v>0</v>
      </c>
      <c r="G103" s="1">
        <v>0</v>
      </c>
    </row>
    <row r="104" spans="1:7" x14ac:dyDescent="0.25">
      <c r="A104">
        <v>0</v>
      </c>
      <c r="B104">
        <v>0</v>
      </c>
      <c r="C104">
        <v>0</v>
      </c>
      <c r="D104">
        <v>0</v>
      </c>
      <c r="E104">
        <v>0</v>
      </c>
      <c r="F104" s="1">
        <v>0</v>
      </c>
      <c r="G104" s="1">
        <v>0</v>
      </c>
    </row>
    <row r="105" spans="1:7" x14ac:dyDescent="0.25">
      <c r="A105">
        <v>0</v>
      </c>
      <c r="B105">
        <v>0</v>
      </c>
      <c r="C105">
        <v>0</v>
      </c>
      <c r="D105">
        <v>0</v>
      </c>
      <c r="E105">
        <v>0</v>
      </c>
      <c r="F105" s="1">
        <v>0</v>
      </c>
      <c r="G105" s="1">
        <v>0</v>
      </c>
    </row>
    <row r="106" spans="1:7" x14ac:dyDescent="0.25">
      <c r="A106">
        <v>0</v>
      </c>
      <c r="B106">
        <v>0</v>
      </c>
      <c r="C106">
        <v>0</v>
      </c>
      <c r="D106">
        <v>0</v>
      </c>
      <c r="E106">
        <v>0</v>
      </c>
      <c r="F106" s="1">
        <v>0</v>
      </c>
      <c r="G106" s="1">
        <v>0</v>
      </c>
    </row>
    <row r="107" spans="1:7" x14ac:dyDescent="0.25">
      <c r="A107">
        <v>0</v>
      </c>
      <c r="B107">
        <v>0</v>
      </c>
      <c r="C107">
        <v>0</v>
      </c>
      <c r="D107">
        <v>0</v>
      </c>
      <c r="E107">
        <v>0</v>
      </c>
      <c r="F107" s="1">
        <v>0</v>
      </c>
      <c r="G107" s="1">
        <v>0</v>
      </c>
    </row>
    <row r="108" spans="1:7" x14ac:dyDescent="0.25">
      <c r="A108">
        <v>0</v>
      </c>
      <c r="B108">
        <v>0</v>
      </c>
      <c r="C108">
        <v>0</v>
      </c>
      <c r="D108">
        <v>0</v>
      </c>
      <c r="E108">
        <v>0</v>
      </c>
      <c r="F108" s="1">
        <v>0</v>
      </c>
      <c r="G108" s="1">
        <v>0</v>
      </c>
    </row>
    <row r="109" spans="1:7" x14ac:dyDescent="0.25">
      <c r="A109">
        <v>0</v>
      </c>
      <c r="B109">
        <v>0</v>
      </c>
      <c r="C109">
        <v>0</v>
      </c>
      <c r="D109">
        <v>0</v>
      </c>
      <c r="E109">
        <v>0</v>
      </c>
      <c r="F109" s="1">
        <v>0</v>
      </c>
      <c r="G109" s="1">
        <v>0</v>
      </c>
    </row>
    <row r="110" spans="1:7" x14ac:dyDescent="0.25">
      <c r="A110">
        <v>0</v>
      </c>
      <c r="B110">
        <v>0</v>
      </c>
      <c r="C110">
        <v>0</v>
      </c>
      <c r="D110">
        <v>0</v>
      </c>
      <c r="E110">
        <v>0</v>
      </c>
      <c r="F110" s="1">
        <v>0</v>
      </c>
      <c r="G110" s="1">
        <v>0</v>
      </c>
    </row>
    <row r="111" spans="1:7" x14ac:dyDescent="0.25">
      <c r="A111">
        <v>0</v>
      </c>
      <c r="B111">
        <v>0</v>
      </c>
      <c r="C111">
        <v>0</v>
      </c>
      <c r="D111">
        <v>0</v>
      </c>
      <c r="E111">
        <v>0</v>
      </c>
      <c r="F111" s="1">
        <v>0</v>
      </c>
      <c r="G111" s="1">
        <v>0</v>
      </c>
    </row>
    <row r="112" spans="1:7" x14ac:dyDescent="0.25">
      <c r="A112">
        <v>0</v>
      </c>
      <c r="B112">
        <v>0</v>
      </c>
      <c r="C112">
        <v>0</v>
      </c>
      <c r="D112">
        <v>0</v>
      </c>
      <c r="E112">
        <v>0</v>
      </c>
      <c r="F112" s="1">
        <v>0</v>
      </c>
      <c r="G112" s="1">
        <v>0</v>
      </c>
    </row>
    <row r="113" spans="1:7" x14ac:dyDescent="0.25">
      <c r="A113">
        <v>0</v>
      </c>
      <c r="B113">
        <v>0</v>
      </c>
      <c r="C113">
        <v>0</v>
      </c>
      <c r="D113">
        <v>0</v>
      </c>
      <c r="E113">
        <v>0</v>
      </c>
      <c r="F113" s="1">
        <v>0</v>
      </c>
      <c r="G113" s="1">
        <v>0</v>
      </c>
    </row>
    <row r="114" spans="1:7" x14ac:dyDescent="0.25">
      <c r="A114">
        <v>0</v>
      </c>
      <c r="B114">
        <v>0</v>
      </c>
      <c r="C114">
        <v>0</v>
      </c>
      <c r="D114">
        <v>0</v>
      </c>
      <c r="E114">
        <v>0</v>
      </c>
      <c r="F114" s="1">
        <v>0</v>
      </c>
      <c r="G114" s="1">
        <v>0</v>
      </c>
    </row>
    <row r="115" spans="1:7" x14ac:dyDescent="0.25">
      <c r="A115">
        <v>0</v>
      </c>
      <c r="B115">
        <v>0</v>
      </c>
      <c r="C115">
        <v>0</v>
      </c>
      <c r="D115">
        <v>0</v>
      </c>
      <c r="E115">
        <v>0</v>
      </c>
      <c r="F115" s="1">
        <v>0</v>
      </c>
      <c r="G115" s="1">
        <v>0</v>
      </c>
    </row>
    <row r="116" spans="1:7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</sheetData>
  <mergeCells count="5">
    <mergeCell ref="A1:E4"/>
    <mergeCell ref="B5:C5"/>
    <mergeCell ref="D5:E5"/>
    <mergeCell ref="F5:G5"/>
    <mergeCell ref="F1:F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71F7F-87E5-46F3-A157-C1E0AC008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output</vt:lpstr>
      <vt:lpstr>xk(vk0)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Oleński</dc:creator>
  <cp:lastModifiedBy>Jan Oleński</cp:lastModifiedBy>
  <dcterms:created xsi:type="dcterms:W3CDTF">2015-06-05T18:17:20Z</dcterms:created>
  <dcterms:modified xsi:type="dcterms:W3CDTF">2025-12-20T21:55:07Z</dcterms:modified>
</cp:coreProperties>
</file>