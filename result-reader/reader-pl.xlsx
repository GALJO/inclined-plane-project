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sie\Documents\InclinedPlaneProject\result-reader\"/>
    </mc:Choice>
  </mc:AlternateContent>
  <xr:revisionPtr revIDLastSave="0" documentId="13_ncr:1_{2A4FDA3A-42A3-4FCE-AA91-D85D7D582A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utput" sheetId="5" r:id="rId1"/>
    <sheet name="Zasięg a prękość początkowa" sheetId="1" r:id="rId2"/>
    <sheet name="Prekość końcowa a początkowa" sheetId="6" r:id="rId3"/>
  </sheets>
  <definedNames>
    <definedName name="ExternalData_1" localSheetId="0" hidden="1">output!$A$1:$AX$17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 a="1"/>
  <c r="G8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A8" i="6" a="1"/>
  <c r="A8" i="6" s="1"/>
  <c r="G7" i="1" a="1"/>
  <c r="G7" i="1" s="1"/>
  <c r="F7" i="1" a="1"/>
  <c r="F7" i="1" s="1"/>
  <c r="E7" i="1" a="1"/>
  <c r="E7" i="1" s="1"/>
  <c r="D7" i="1" a="1"/>
  <c r="D7" i="1" s="1"/>
  <c r="C7" i="1" a="1"/>
  <c r="C7" i="1" s="1"/>
  <c r="B7" i="1" a="1"/>
  <c r="B7" i="1" s="1"/>
  <c r="A7" i="1" a="1"/>
  <c r="A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86CF6-0434-4AC9-B11F-4D5590D5985B}" keepAlive="1" name="Zapytanie — output" description="Połączenie z zapytaniem „output” w skoroszycie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<sst xmlns="http://schemas.openxmlformats.org/spreadsheetml/2006/main" count="72" uniqueCount="61">
  <si>
    <t>cycle_number</t>
  </si>
  <si>
    <t>duration1_measured</t>
  </si>
  <si>
    <t>duration2_measured</t>
  </si>
  <si>
    <t>duration_measured</t>
  </si>
  <si>
    <t>start_velocity_x_measured</t>
  </si>
  <si>
    <t>start_velocity_y_measured</t>
  </si>
  <si>
    <t>start_velocity_value_measured</t>
  </si>
  <si>
    <t>end_velocity_x_measured</t>
  </si>
  <si>
    <t>end_velocity_y_measured</t>
  </si>
  <si>
    <t>end_velocity_value_measured</t>
  </si>
  <si>
    <t>reach_x_measured</t>
  </si>
  <si>
    <t>reach_y_measured</t>
  </si>
  <si>
    <t>reach_value_measured</t>
  </si>
  <si>
    <t>duration1_model</t>
  </si>
  <si>
    <t>duration2_model</t>
  </si>
  <si>
    <t>duration_model</t>
  </si>
  <si>
    <t>start_velocity_x_model</t>
  </si>
  <si>
    <t>start_velocity_y_model</t>
  </si>
  <si>
    <t>start_velocity_value_model</t>
  </si>
  <si>
    <t>end_velocity_x_model</t>
  </si>
  <si>
    <t>end_velocity_y_model</t>
  </si>
  <si>
    <t>end_velocity_value_model</t>
  </si>
  <si>
    <t>reach_x_model</t>
  </si>
  <si>
    <t>reach_y_model</t>
  </si>
  <si>
    <t>reach_value_model</t>
  </si>
  <si>
    <t>error_duration1</t>
  </si>
  <si>
    <t>error_rel_duration1</t>
  </si>
  <si>
    <t>error_duration2</t>
  </si>
  <si>
    <t>error_rel_duration2</t>
  </si>
  <si>
    <t>error_duration</t>
  </si>
  <si>
    <t>error_rel_duration</t>
  </si>
  <si>
    <t>error_start_velocity_x</t>
  </si>
  <si>
    <t>error_rel_start_velocity_x</t>
  </si>
  <si>
    <t>error_start_velocity_y</t>
  </si>
  <si>
    <t>error_rel_start_velocity_y</t>
  </si>
  <si>
    <t>error_start_velocity_value</t>
  </si>
  <si>
    <t>error_rel_start_velocity_value</t>
  </si>
  <si>
    <t>error_end_velocity_x</t>
  </si>
  <si>
    <t>error_rel_end_velocity_x</t>
  </si>
  <si>
    <t>error_end_velocity_y</t>
  </si>
  <si>
    <t>error_rel_end_velocity_y</t>
  </si>
  <si>
    <t>error_end_velocity_value</t>
  </si>
  <si>
    <t>error_rel_end_velocity_value</t>
  </si>
  <si>
    <t>error_reach_x</t>
  </si>
  <si>
    <t>error_rel_reach_x</t>
  </si>
  <si>
    <t>error_reach_y</t>
  </si>
  <si>
    <t>error_rel_reach_y</t>
  </si>
  <si>
    <t>error_reach_value</t>
  </si>
  <si>
    <t>error_rel_reach_value</t>
  </si>
  <si>
    <t>is_full</t>
  </si>
  <si>
    <t>k</t>
  </si>
  <si>
    <t>N. cyklu</t>
  </si>
  <si>
    <t>Model</t>
  </si>
  <si>
    <t>Symulacja</t>
  </si>
  <si>
    <t>Błędy względne</t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</si>
  <si>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k0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</si>
  <si>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x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  <r>
      <rPr>
        <b/>
        <sz val="11"/>
        <color theme="1"/>
        <rFont val="Calibri"/>
        <family val="2"/>
        <charset val="238"/>
        <scheme val="minor"/>
      </rPr>
      <t xml:space="preserve"> [m]</t>
    </r>
  </si>
  <si>
    <r>
      <t>δx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</si>
  <si>
    <r>
      <t>δv</t>
    </r>
    <r>
      <rPr>
        <b/>
        <vertAlign val="subscript"/>
        <sz val="11"/>
        <color theme="1"/>
        <rFont val="Calibri"/>
        <family val="2"/>
        <charset val="238"/>
        <scheme val="minor"/>
      </rPr>
      <t>k0</t>
    </r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</si>
  <si>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k1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</si>
  <si>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δv</t>
    </r>
    <r>
      <rPr>
        <b/>
        <vertAlign val="subscript"/>
        <sz val="11"/>
        <color theme="1"/>
        <rFont val="Calibri"/>
        <family val="2"/>
        <charset val="238"/>
        <scheme val="minor"/>
      </rPr>
      <t>k1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</si>
</sst>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x</a:t>
            </a:r>
            <a:r>
              <a:rPr lang="pl-PL" sz="1400" b="1" i="0" u="none" strike="noStrike" baseline="-25000">
                <a:effectLst/>
              </a:rPr>
              <a:t>k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/>
              <a:t>nałożenie</a:t>
            </a:r>
            <a:r>
              <a:rPr lang="pl-PL" baseline="0"/>
              <a:t> danych symulowanych i modelowych</a:t>
            </a:r>
            <a:endParaRPr lang="pl-PL"/>
          </a:p>
        </c:rich>
      </c:tx>
      <c:layout>
        <c:manualLayout>
          <c:xMode val="edge"/>
          <c:yMode val="edge"/>
          <c:x val="0.22824735693085091"/>
          <c:y val="4.0464224359406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Symulacja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'Zasięg a prękość początkowa'!$C$7:$C$117</c:f>
              <c:numCache>
                <c:formatCode>General</c:formatCode>
                <c:ptCount val="111"/>
                <c:pt idx="0">
                  <c:v>20.000000000099998</c:v>
                </c:pt>
                <c:pt idx="1">
                  <c:v>14.252776385100001</c:v>
                </c:pt>
                <c:pt idx="2">
                  <c:v>10.2416846076</c:v>
                </c:pt>
                <c:pt idx="3">
                  <c:v>7.3464865734</c:v>
                </c:pt>
                <c:pt idx="4">
                  <c:v>5.2700747077000001</c:v>
                </c:pt>
                <c:pt idx="5">
                  <c:v>3.8444988932999999</c:v>
                </c:pt>
                <c:pt idx="6">
                  <c:v>2.7862283992000001</c:v>
                </c:pt>
                <c:pt idx="7">
                  <c:v>2.0035872473</c:v>
                </c:pt>
                <c:pt idx="8">
                  <c:v>1.4026735257</c:v>
                </c:pt>
                <c:pt idx="9">
                  <c:v>1.0314509224999999</c:v>
                </c:pt>
                <c:pt idx="10">
                  <c:v>0.75014612550000004</c:v>
                </c:pt>
                <c:pt idx="11">
                  <c:v>0.53964048220000005</c:v>
                </c:pt>
                <c:pt idx="12">
                  <c:v>0.2813047971</c:v>
                </c:pt>
                <c:pt idx="13">
                  <c:v>0.2813047971</c:v>
                </c:pt>
                <c:pt idx="14">
                  <c:v>0.1875365313</c:v>
                </c:pt>
                <c:pt idx="15">
                  <c:v>0.18179425339999999</c:v>
                </c:pt>
              </c:numCache>
            </c:numRef>
          </c:xVal>
          <c:yVal>
            <c:numRef>
              <c:f>'Zasięg a prękość początkowa'!$B$7:$B$117</c:f>
              <c:numCache>
                <c:formatCode>General</c:formatCode>
                <c:ptCount val="111"/>
                <c:pt idx="0">
                  <c:v>18.137909737299999</c:v>
                </c:pt>
                <c:pt idx="1">
                  <c:v>9.4406722697000003</c:v>
                </c:pt>
                <c:pt idx="2">
                  <c:v>4.9001985411</c:v>
                </c:pt>
                <c:pt idx="3">
                  <c:v>2.5376704991999999</c:v>
                </c:pt>
                <c:pt idx="4">
                  <c:v>1.3170616606000001</c:v>
                </c:pt>
                <c:pt idx="5">
                  <c:v>0.71170528570000002</c:v>
                </c:pt>
                <c:pt idx="6">
                  <c:v>0.38193049239999999</c:v>
                </c:pt>
                <c:pt idx="7">
                  <c:v>0.20237538990000001</c:v>
                </c:pt>
                <c:pt idx="8">
                  <c:v>0.1022950468</c:v>
                </c:pt>
                <c:pt idx="9">
                  <c:v>5.7890761700000001E-2</c:v>
                </c:pt>
                <c:pt idx="10">
                  <c:v>3.1861568999999999E-2</c:v>
                </c:pt>
                <c:pt idx="11">
                  <c:v>1.7892311399999999E-2</c:v>
                </c:pt>
                <c:pt idx="12">
                  <c:v>6.3469223999999998E-3</c:v>
                </c:pt>
                <c:pt idx="13">
                  <c:v>6.3469223999999998E-3</c:v>
                </c:pt>
                <c:pt idx="14">
                  <c:v>3.1256088E-3</c:v>
                </c:pt>
                <c:pt idx="15">
                  <c:v>3.0299042E-3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EE4-414A-85D1-ACAEF5368FFB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'Zasięg a prękość początkowa'!$E$7:$E$500</c:f>
              <c:numCache>
                <c:formatCode>General</c:formatCode>
                <c:ptCount val="494"/>
                <c:pt idx="0">
                  <c:v>20.000000000099998</c:v>
                </c:pt>
                <c:pt idx="1">
                  <c:v>14.3380817419</c:v>
                </c:pt>
                <c:pt idx="2">
                  <c:v>10.279029401800001</c:v>
                </c:pt>
                <c:pt idx="3">
                  <c:v>7.3690781894999997</c:v>
                </c:pt>
                <c:pt idx="4">
                  <c:v>5.2829222722000004</c:v>
                </c:pt>
                <c:pt idx="5">
                  <c:v>3.7873485687000001</c:v>
                </c:pt>
                <c:pt idx="6">
                  <c:v>2.7151656681</c:v>
                </c:pt>
                <c:pt idx="7">
                  <c:v>1.9465133645999999</c:v>
                </c:pt>
                <c:pt idx="8">
                  <c:v>1.3954633865999999</c:v>
                </c:pt>
                <c:pt idx="9">
                  <c:v>1.0004134052</c:v>
                </c:pt>
                <c:pt idx="10">
                  <c:v>0.71720045899999996</c:v>
                </c:pt>
                <c:pt idx="11">
                  <c:v>0.51416394030000001</c:v>
                </c:pt>
                <c:pt idx="12">
                  <c:v>0.3686062303</c:v>
                </c:pt>
                <c:pt idx="13">
                  <c:v>0.2642553131</c:v>
                </c:pt>
                <c:pt idx="14">
                  <c:v>0.18944571399999999</c:v>
                </c:pt>
                <c:pt idx="15">
                  <c:v>0.13581440659999999</c:v>
                </c:pt>
              </c:numCache>
            </c:numRef>
          </c:xVal>
          <c:yVal>
            <c:numRef>
              <c:f>'Zasięg a prękość początkowa'!$D$7:$D$500</c:f>
              <c:numCache>
                <c:formatCode>General</c:formatCode>
                <c:ptCount val="494"/>
                <c:pt idx="0">
                  <c:v>18.340188761</c:v>
                </c:pt>
                <c:pt idx="1">
                  <c:v>9.4259669754999997</c:v>
                </c:pt>
                <c:pt idx="2">
                  <c:v>4.8444895839999997</c:v>
                </c:pt>
                <c:pt idx="3">
                  <c:v>2.4898325434999999</c:v>
                </c:pt>
                <c:pt idx="4">
                  <c:v>1.2796530960000001</c:v>
                </c:pt>
                <c:pt idx="5">
                  <c:v>0.65767958989999997</c:v>
                </c:pt>
                <c:pt idx="6">
                  <c:v>0.33801539209999998</c:v>
                </c:pt>
                <c:pt idx="7">
                  <c:v>0.1737235077</c:v>
                </c:pt>
                <c:pt idx="8">
                  <c:v>8.9285452099999996E-2</c:v>
                </c:pt>
                <c:pt idx="9">
                  <c:v>4.58883894E-2</c:v>
                </c:pt>
                <c:pt idx="10">
                  <c:v>2.3584405199999998E-2</c:v>
                </c:pt>
                <c:pt idx="11">
                  <c:v>1.21212397E-2</c:v>
                </c:pt>
                <c:pt idx="12">
                  <c:v>6.2297289999999998E-3</c:v>
                </c:pt>
                <c:pt idx="13">
                  <c:v>3.2017783999999999E-3</c:v>
                </c:pt>
                <c:pt idx="14">
                  <c:v>1.6455586999999999E-3</c:v>
                </c:pt>
                <c:pt idx="15">
                  <c:v>8.4573730000000005E-4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EE4-414A-85D1-ACAEF536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02559"/>
        <c:axId val="2029109279"/>
      </c:scatterChart>
      <c:valAx>
        <c:axId val="202910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9279"/>
        <c:crosses val="autoZero"/>
        <c:crossBetween val="midCat"/>
      </c:valAx>
      <c:valAx>
        <c:axId val="20291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Błędy</a:t>
            </a:r>
            <a:r>
              <a:rPr lang="pl-PL" baseline="0"/>
              <a:t> względne w każdym cyklu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'Zasięg a prękość początkowa'!$F$6</c:f>
              <c:strCache>
                <c:ptCount val="1"/>
                <c:pt idx="0">
                  <c:v>δxk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'Zasięg a prękość początkowa'!$F$7:$F$25</c:f>
              <c:numCache>
                <c:formatCode>0.00%</c:formatCode>
                <c:ptCount val="19"/>
                <c:pt idx="0">
                  <c:v>1.1152278700000001E-2</c:v>
                </c:pt>
                <c:pt idx="1">
                  <c:v>1.5576533000000001E-3</c:v>
                </c:pt>
                <c:pt idx="2">
                  <c:v>1.1368714300000001E-2</c:v>
                </c:pt>
                <c:pt idx="3">
                  <c:v>1.88511297E-2</c:v>
                </c:pt>
                <c:pt idx="4">
                  <c:v>2.8403047300000001E-2</c:v>
                </c:pt>
                <c:pt idx="5">
                  <c:v>7.5910207300000004E-2</c:v>
                </c:pt>
                <c:pt idx="6">
                  <c:v>0.1149819173</c:v>
                </c:pt>
                <c:pt idx="7">
                  <c:v>0.14157789749999999</c:v>
                </c:pt>
                <c:pt idx="8">
                  <c:v>0.12717717140000001</c:v>
                </c:pt>
                <c:pt idx="9">
                  <c:v>0.2073279388</c:v>
                </c:pt>
                <c:pt idx="10">
                  <c:v>0.2597851914</c:v>
                </c:pt>
                <c:pt idx="11">
                  <c:v>0.32254478310000001</c:v>
                </c:pt>
                <c:pt idx="12">
                  <c:v>1.8464602600000001E-2</c:v>
                </c:pt>
                <c:pt idx="13">
                  <c:v>0.49553843609999998</c:v>
                </c:pt>
                <c:pt idx="14">
                  <c:v>0.473523782</c:v>
                </c:pt>
                <c:pt idx="15">
                  <c:v>0.72086995359999995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4-432A-BE36-5754E284F633}"/>
            </c:ext>
          </c:extLst>
        </c:ser>
        <c:ser>
          <c:idx val="1"/>
          <c:order val="1"/>
          <c:tx>
            <c:strRef>
              <c:f>'Zasięg a prękość początkowa'!$G$6</c:f>
              <c:strCache>
                <c:ptCount val="1"/>
                <c:pt idx="0">
                  <c:v>δvk0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'Zasięg a prękość początkowa'!$G$7:$G$25</c:f>
              <c:numCache>
                <c:formatCode>0.00%</c:formatCode>
                <c:ptCount val="19"/>
                <c:pt idx="0">
                  <c:v>0</c:v>
                </c:pt>
                <c:pt idx="1">
                  <c:v>8.5305356799999996E-2</c:v>
                </c:pt>
                <c:pt idx="2">
                  <c:v>3.7344794200000003E-2</c:v>
                </c:pt>
                <c:pt idx="3">
                  <c:v>2.25916161E-2</c:v>
                </c:pt>
                <c:pt idx="4">
                  <c:v>1.28475645E-2</c:v>
                </c:pt>
                <c:pt idx="5">
                  <c:v>5.7150324600000003E-2</c:v>
                </c:pt>
                <c:pt idx="6">
                  <c:v>7.1062731099999998E-2</c:v>
                </c:pt>
                <c:pt idx="7">
                  <c:v>5.7073882700000002E-2</c:v>
                </c:pt>
                <c:pt idx="8">
                  <c:v>7.2101391000000004E-3</c:v>
                </c:pt>
                <c:pt idx="9">
                  <c:v>3.1037517300000001E-2</c:v>
                </c:pt>
                <c:pt idx="10">
                  <c:v>3.2945666499999998E-2</c:v>
                </c:pt>
                <c:pt idx="11">
                  <c:v>2.54765419E-2</c:v>
                </c:pt>
                <c:pt idx="12">
                  <c:v>8.73014332E-2</c:v>
                </c:pt>
                <c:pt idx="13">
                  <c:v>1.7049484E-2</c:v>
                </c:pt>
                <c:pt idx="14">
                  <c:v>1.9091827E-3</c:v>
                </c:pt>
                <c:pt idx="15">
                  <c:v>4.5979846800000002E-2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4-432A-BE36-5754E284F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103519"/>
        <c:axId val="2029119359"/>
      </c:barChart>
      <c:catAx>
        <c:axId val="202910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Cykl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19359"/>
        <c:crosses val="autoZero"/>
        <c:auto val="1"/>
        <c:lblAlgn val="ctr"/>
        <c:lblOffset val="100"/>
        <c:noMultiLvlLbl val="0"/>
      </c:catAx>
      <c:valAx>
        <c:axId val="20291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pl-PL"/>
                  <a:t>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x</a:t>
            </a:r>
            <a:r>
              <a:rPr lang="pl-PL" sz="1400" b="1" i="0" u="none" strike="noStrike" baseline="-25000">
                <a:effectLst/>
              </a:rPr>
              <a:t>k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/>
              <a:t>symulowane</a:t>
            </a:r>
            <a:r>
              <a:rPr lang="pl-PL" baseline="0"/>
              <a:t> wraz z krzywą najlepszego dopasowania</a:t>
            </a:r>
            <a:endParaRPr lang="pl-PL"/>
          </a:p>
        </c:rich>
      </c:tx>
      <c:layout>
        <c:manualLayout>
          <c:xMode val="edge"/>
          <c:yMode val="edge"/>
          <c:x val="0.2043333333333333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7035658957308988"/>
                  <c:y val="-0.200767307251252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'Zasięg a prękość początkowa'!$C$7:$C$117</c:f>
              <c:numCache>
                <c:formatCode>General</c:formatCode>
                <c:ptCount val="111"/>
                <c:pt idx="0">
                  <c:v>20.000000000099998</c:v>
                </c:pt>
                <c:pt idx="1">
                  <c:v>14.252776385100001</c:v>
                </c:pt>
                <c:pt idx="2">
                  <c:v>10.2416846076</c:v>
                </c:pt>
                <c:pt idx="3">
                  <c:v>7.3464865734</c:v>
                </c:pt>
                <c:pt idx="4">
                  <c:v>5.2700747077000001</c:v>
                </c:pt>
                <c:pt idx="5">
                  <c:v>3.8444988932999999</c:v>
                </c:pt>
                <c:pt idx="6">
                  <c:v>2.7862283992000001</c:v>
                </c:pt>
                <c:pt idx="7">
                  <c:v>2.0035872473</c:v>
                </c:pt>
                <c:pt idx="8">
                  <c:v>1.4026735257</c:v>
                </c:pt>
                <c:pt idx="9">
                  <c:v>1.0314509224999999</c:v>
                </c:pt>
                <c:pt idx="10">
                  <c:v>0.75014612550000004</c:v>
                </c:pt>
                <c:pt idx="11">
                  <c:v>0.53964048220000005</c:v>
                </c:pt>
                <c:pt idx="12">
                  <c:v>0.2813047971</c:v>
                </c:pt>
                <c:pt idx="13">
                  <c:v>0.2813047971</c:v>
                </c:pt>
                <c:pt idx="14">
                  <c:v>0.1875365313</c:v>
                </c:pt>
                <c:pt idx="15">
                  <c:v>0.18179425339999999</c:v>
                </c:pt>
              </c:numCache>
            </c:numRef>
          </c:xVal>
          <c:yVal>
            <c:numRef>
              <c:f>'Zasięg a prękość początkowa'!$B$7:$B$117</c:f>
              <c:numCache>
                <c:formatCode>General</c:formatCode>
                <c:ptCount val="111"/>
                <c:pt idx="0">
                  <c:v>18.137909737299999</c:v>
                </c:pt>
                <c:pt idx="1">
                  <c:v>9.4406722697000003</c:v>
                </c:pt>
                <c:pt idx="2">
                  <c:v>4.9001985411</c:v>
                </c:pt>
                <c:pt idx="3">
                  <c:v>2.5376704991999999</c:v>
                </c:pt>
                <c:pt idx="4">
                  <c:v>1.3170616606000001</c:v>
                </c:pt>
                <c:pt idx="5">
                  <c:v>0.71170528570000002</c:v>
                </c:pt>
                <c:pt idx="6">
                  <c:v>0.38193049239999999</c:v>
                </c:pt>
                <c:pt idx="7">
                  <c:v>0.20237538990000001</c:v>
                </c:pt>
                <c:pt idx="8">
                  <c:v>0.1022950468</c:v>
                </c:pt>
                <c:pt idx="9">
                  <c:v>5.7890761700000001E-2</c:v>
                </c:pt>
                <c:pt idx="10">
                  <c:v>3.1861568999999999E-2</c:v>
                </c:pt>
                <c:pt idx="11">
                  <c:v>1.7892311399999999E-2</c:v>
                </c:pt>
                <c:pt idx="12">
                  <c:v>6.3469223999999998E-3</c:v>
                </c:pt>
                <c:pt idx="13">
                  <c:v>6.3469223999999998E-3</c:v>
                </c:pt>
                <c:pt idx="14">
                  <c:v>3.1256088E-3</c:v>
                </c:pt>
                <c:pt idx="15">
                  <c:v>3.0299042E-3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C-48C0-B795-30EB93AE4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53744"/>
        <c:axId val="430154704"/>
      </c:scatterChart>
      <c:valAx>
        <c:axId val="4301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4704"/>
        <c:crosses val="autoZero"/>
        <c:crossBetween val="midCat"/>
      </c:valAx>
      <c:valAx>
        <c:axId val="430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x</a:t>
            </a:r>
            <a:r>
              <a:rPr lang="pl-PL" sz="1400" b="1" i="0" u="none" strike="noStrike" baseline="-25000">
                <a:effectLst/>
              </a:rPr>
              <a:t>k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modelowe wraz z krzywą najlepszego dopasowania</a:t>
            </a:r>
          </a:p>
        </c:rich>
      </c:tx>
      <c:layout>
        <c:manualLayout>
          <c:xMode val="edge"/>
          <c:yMode val="edge"/>
          <c:x val="0.30690092728160073"/>
          <c:y val="4.2145593869731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4288575567878317"/>
                  <c:y val="-0.20065013425046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'Zasięg a prękość początkowa'!$E$7:$E$117</c:f>
              <c:numCache>
                <c:formatCode>General</c:formatCode>
                <c:ptCount val="111"/>
                <c:pt idx="0">
                  <c:v>20.000000000099998</c:v>
                </c:pt>
                <c:pt idx="1">
                  <c:v>14.3380817419</c:v>
                </c:pt>
                <c:pt idx="2">
                  <c:v>10.279029401800001</c:v>
                </c:pt>
                <c:pt idx="3">
                  <c:v>7.3690781894999997</c:v>
                </c:pt>
                <c:pt idx="4">
                  <c:v>5.2829222722000004</c:v>
                </c:pt>
                <c:pt idx="5">
                  <c:v>3.7873485687000001</c:v>
                </c:pt>
                <c:pt idx="6">
                  <c:v>2.7151656681</c:v>
                </c:pt>
                <c:pt idx="7">
                  <c:v>1.9465133645999999</c:v>
                </c:pt>
                <c:pt idx="8">
                  <c:v>1.3954633865999999</c:v>
                </c:pt>
                <c:pt idx="9">
                  <c:v>1.0004134052</c:v>
                </c:pt>
                <c:pt idx="10">
                  <c:v>0.71720045899999996</c:v>
                </c:pt>
                <c:pt idx="11">
                  <c:v>0.51416394030000001</c:v>
                </c:pt>
                <c:pt idx="12">
                  <c:v>0.3686062303</c:v>
                </c:pt>
                <c:pt idx="13">
                  <c:v>0.2642553131</c:v>
                </c:pt>
                <c:pt idx="14">
                  <c:v>0.18944571399999999</c:v>
                </c:pt>
                <c:pt idx="15">
                  <c:v>0.13581440659999999</c:v>
                </c:pt>
              </c:numCache>
            </c:numRef>
          </c:xVal>
          <c:yVal>
            <c:numRef>
              <c:f>'Zasięg a prękość początkowa'!$D$7:$D$117</c:f>
              <c:numCache>
                <c:formatCode>General</c:formatCode>
                <c:ptCount val="111"/>
                <c:pt idx="0">
                  <c:v>18.340188761</c:v>
                </c:pt>
                <c:pt idx="1">
                  <c:v>9.4259669754999997</c:v>
                </c:pt>
                <c:pt idx="2">
                  <c:v>4.8444895839999997</c:v>
                </c:pt>
                <c:pt idx="3">
                  <c:v>2.4898325434999999</c:v>
                </c:pt>
                <c:pt idx="4">
                  <c:v>1.2796530960000001</c:v>
                </c:pt>
                <c:pt idx="5">
                  <c:v>0.65767958989999997</c:v>
                </c:pt>
                <c:pt idx="6">
                  <c:v>0.33801539209999998</c:v>
                </c:pt>
                <c:pt idx="7">
                  <c:v>0.1737235077</c:v>
                </c:pt>
                <c:pt idx="8">
                  <c:v>8.9285452099999996E-2</c:v>
                </c:pt>
                <c:pt idx="9">
                  <c:v>4.58883894E-2</c:v>
                </c:pt>
                <c:pt idx="10">
                  <c:v>2.3584405199999998E-2</c:v>
                </c:pt>
                <c:pt idx="11">
                  <c:v>1.21212397E-2</c:v>
                </c:pt>
                <c:pt idx="12">
                  <c:v>6.2297289999999998E-3</c:v>
                </c:pt>
                <c:pt idx="13">
                  <c:v>3.2017783999999999E-3</c:v>
                </c:pt>
                <c:pt idx="14">
                  <c:v>1.6455586999999999E-3</c:v>
                </c:pt>
                <c:pt idx="15">
                  <c:v>8.4573730000000005E-4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7-4256-88A9-45FEDDFF5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53744"/>
        <c:axId val="430154704"/>
      </c:scatterChart>
      <c:valAx>
        <c:axId val="4301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4704"/>
        <c:crosses val="autoZero"/>
        <c:crossBetween val="midCat"/>
      </c:valAx>
      <c:valAx>
        <c:axId val="430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v</a:t>
            </a:r>
            <a:r>
              <a:rPr lang="pl-PL" sz="1400" b="1" i="0" u="none" strike="noStrike" baseline="-25000">
                <a:effectLst/>
              </a:rPr>
              <a:t>k1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/>
              <a:t>nałożenie</a:t>
            </a:r>
            <a:r>
              <a:rPr lang="pl-PL" baseline="0"/>
              <a:t> danych symulowanych i modelowych</a:t>
            </a:r>
            <a:endParaRPr lang="pl-PL"/>
          </a:p>
        </c:rich>
      </c:tx>
      <c:layout>
        <c:manualLayout>
          <c:xMode val="edge"/>
          <c:yMode val="edge"/>
          <c:x val="0.22824735693085091"/>
          <c:y val="4.046422435940600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Symulacja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'Prekość końcowa a początkowa'!$C$8:$C$500</c:f>
              <c:numCache>
                <c:formatCode>General</c:formatCode>
                <c:ptCount val="493"/>
                <c:pt idx="0">
                  <c:v>20.000000000099998</c:v>
                </c:pt>
                <c:pt idx="1">
                  <c:v>14.252776385100001</c:v>
                </c:pt>
                <c:pt idx="2">
                  <c:v>10.2416846076</c:v>
                </c:pt>
                <c:pt idx="3">
                  <c:v>7.3464865734</c:v>
                </c:pt>
                <c:pt idx="4">
                  <c:v>5.2700747077000001</c:v>
                </c:pt>
                <c:pt idx="5">
                  <c:v>3.8444988932999999</c:v>
                </c:pt>
                <c:pt idx="6">
                  <c:v>2.7862283992000001</c:v>
                </c:pt>
                <c:pt idx="7">
                  <c:v>2.0035872473</c:v>
                </c:pt>
                <c:pt idx="8">
                  <c:v>1.4026735257</c:v>
                </c:pt>
                <c:pt idx="9">
                  <c:v>1.0314509224999999</c:v>
                </c:pt>
                <c:pt idx="10">
                  <c:v>0.75014612550000004</c:v>
                </c:pt>
                <c:pt idx="11">
                  <c:v>0.53964048220000005</c:v>
                </c:pt>
                <c:pt idx="12">
                  <c:v>0.2813047971</c:v>
                </c:pt>
                <c:pt idx="13">
                  <c:v>0.2813047971</c:v>
                </c:pt>
                <c:pt idx="14">
                  <c:v>0.1875365313</c:v>
                </c:pt>
                <c:pt idx="15">
                  <c:v>0.18179425339999999</c:v>
                </c:pt>
              </c:numCache>
            </c:numRef>
          </c:xVal>
          <c:yVal>
            <c:numRef>
              <c:f>'Prekość końcowa a początkowa'!$B$8:$B$500</c:f>
              <c:numCache>
                <c:formatCode>General</c:formatCode>
                <c:ptCount val="493"/>
                <c:pt idx="0">
                  <c:v>14.252776385100001</c:v>
                </c:pt>
                <c:pt idx="1">
                  <c:v>10.2416846076</c:v>
                </c:pt>
                <c:pt idx="2">
                  <c:v>7.3464865734</c:v>
                </c:pt>
                <c:pt idx="3">
                  <c:v>5.2700747077000001</c:v>
                </c:pt>
                <c:pt idx="4">
                  <c:v>3.8444988932999999</c:v>
                </c:pt>
                <c:pt idx="5">
                  <c:v>2.7862283992000001</c:v>
                </c:pt>
                <c:pt idx="6">
                  <c:v>2.0035872473</c:v>
                </c:pt>
                <c:pt idx="7">
                  <c:v>1.4026735257</c:v>
                </c:pt>
                <c:pt idx="8">
                  <c:v>1.0314509224999999</c:v>
                </c:pt>
                <c:pt idx="9">
                  <c:v>0.75014612550000004</c:v>
                </c:pt>
                <c:pt idx="10">
                  <c:v>0.53964048220000005</c:v>
                </c:pt>
                <c:pt idx="11">
                  <c:v>0.2813047971</c:v>
                </c:pt>
                <c:pt idx="12">
                  <c:v>0.2813047971</c:v>
                </c:pt>
                <c:pt idx="13">
                  <c:v>0.1875365313</c:v>
                </c:pt>
                <c:pt idx="14">
                  <c:v>0.18179425339999999</c:v>
                </c:pt>
                <c:pt idx="15">
                  <c:v>9.3768265700000006E-2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C9-48BE-8CCE-C20C2D5D0B71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'Prekość końcowa a początkowa'!$E$8:$E$500</c:f>
              <c:numCache>
                <c:formatCode>General</c:formatCode>
                <c:ptCount val="493"/>
                <c:pt idx="0">
                  <c:v>20.000000000099998</c:v>
                </c:pt>
                <c:pt idx="1">
                  <c:v>14.3380817419</c:v>
                </c:pt>
                <c:pt idx="2">
                  <c:v>10.279029401800001</c:v>
                </c:pt>
                <c:pt idx="3">
                  <c:v>7.3690781894999997</c:v>
                </c:pt>
                <c:pt idx="4">
                  <c:v>5.2829222722000004</c:v>
                </c:pt>
                <c:pt idx="5">
                  <c:v>3.7873485687000001</c:v>
                </c:pt>
                <c:pt idx="6">
                  <c:v>2.7151656681</c:v>
                </c:pt>
                <c:pt idx="7">
                  <c:v>1.9465133645999999</c:v>
                </c:pt>
                <c:pt idx="8">
                  <c:v>1.3954633865999999</c:v>
                </c:pt>
                <c:pt idx="9">
                  <c:v>1.0004134052</c:v>
                </c:pt>
                <c:pt idx="10">
                  <c:v>0.71720045899999996</c:v>
                </c:pt>
                <c:pt idx="11">
                  <c:v>0.51416394030000001</c:v>
                </c:pt>
                <c:pt idx="12">
                  <c:v>0.3686062303</c:v>
                </c:pt>
                <c:pt idx="13">
                  <c:v>0.2642553131</c:v>
                </c:pt>
                <c:pt idx="14">
                  <c:v>0.18944571399999999</c:v>
                </c:pt>
                <c:pt idx="15">
                  <c:v>0.13581440659999999</c:v>
                </c:pt>
              </c:numCache>
            </c:numRef>
          </c:xVal>
          <c:yVal>
            <c:numRef>
              <c:f>'Prekość końcowa a początkowa'!$D$8:$D$500</c:f>
              <c:numCache>
                <c:formatCode>General</c:formatCode>
                <c:ptCount val="493"/>
                <c:pt idx="0">
                  <c:v>14.3380817419</c:v>
                </c:pt>
                <c:pt idx="1">
                  <c:v>10.279029401800001</c:v>
                </c:pt>
                <c:pt idx="2">
                  <c:v>7.3690781894999997</c:v>
                </c:pt>
                <c:pt idx="3">
                  <c:v>5.2829222722000004</c:v>
                </c:pt>
                <c:pt idx="4">
                  <c:v>3.7873485687000001</c:v>
                </c:pt>
                <c:pt idx="5">
                  <c:v>2.7151656681</c:v>
                </c:pt>
                <c:pt idx="6">
                  <c:v>1.9465133645999999</c:v>
                </c:pt>
                <c:pt idx="7">
                  <c:v>1.3954633865999999</c:v>
                </c:pt>
                <c:pt idx="8">
                  <c:v>1.0004134052</c:v>
                </c:pt>
                <c:pt idx="9">
                  <c:v>0.71720045899999996</c:v>
                </c:pt>
                <c:pt idx="10">
                  <c:v>0.51416394030000001</c:v>
                </c:pt>
                <c:pt idx="11">
                  <c:v>0.3686062303</c:v>
                </c:pt>
                <c:pt idx="12">
                  <c:v>0.2642553131</c:v>
                </c:pt>
                <c:pt idx="13">
                  <c:v>0.18944571399999999</c:v>
                </c:pt>
                <c:pt idx="14">
                  <c:v>0.13581440659999999</c:v>
                </c:pt>
                <c:pt idx="15">
                  <c:v>9.7365903099999998E-2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C9-48BE-8CCE-C20C2D5D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02559"/>
        <c:axId val="2029109279"/>
      </c:scatterChart>
      <c:valAx>
        <c:axId val="202910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9279"/>
        <c:crosses val="autoZero"/>
        <c:crossBetween val="midCat"/>
      </c:valAx>
      <c:valAx>
        <c:axId val="20291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2559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v</a:t>
            </a:r>
            <a:r>
              <a:rPr lang="pl-PL" sz="1400" b="1" i="0" u="none" strike="noStrike" baseline="-25000">
                <a:effectLst/>
              </a:rPr>
              <a:t>k1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symulowane - regresja liniowa</a:t>
            </a:r>
            <a:endParaRPr lang="pl-PL" sz="1400"/>
          </a:p>
        </c:rich>
      </c:tx>
      <c:layout>
        <c:manualLayout>
          <c:xMode val="edge"/>
          <c:yMode val="edge"/>
          <c:x val="0.22824730897695641"/>
          <c:y val="4.04642322405718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Symulacja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>
                <a:solidFill>
                  <a:srgbClr val="C00000"/>
                </a:solidFill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6031348319532871"/>
                  <c:y val="-0.17798773732752884"/>
                </c:manualLayout>
              </c:layout>
              <c:numFmt formatCode="General" sourceLinked="0"/>
            </c:trendlineLbl>
          </c:trendline>
          <c:xVal>
            <c:numRef>
              <c:f>'Prekość końcowa a początkowa'!$C$8:$C$500</c:f>
              <c:numCache>
                <c:formatCode>General</c:formatCode>
                <c:ptCount val="493"/>
                <c:pt idx="0">
                  <c:v>20.000000000099998</c:v>
                </c:pt>
                <c:pt idx="1">
                  <c:v>14.252776385100001</c:v>
                </c:pt>
                <c:pt idx="2">
                  <c:v>10.2416846076</c:v>
                </c:pt>
                <c:pt idx="3">
                  <c:v>7.3464865734</c:v>
                </c:pt>
                <c:pt idx="4">
                  <c:v>5.2700747077000001</c:v>
                </c:pt>
                <c:pt idx="5">
                  <c:v>3.8444988932999999</c:v>
                </c:pt>
                <c:pt idx="6">
                  <c:v>2.7862283992000001</c:v>
                </c:pt>
                <c:pt idx="7">
                  <c:v>2.0035872473</c:v>
                </c:pt>
                <c:pt idx="8">
                  <c:v>1.4026735257</c:v>
                </c:pt>
                <c:pt idx="9">
                  <c:v>1.0314509224999999</c:v>
                </c:pt>
                <c:pt idx="10">
                  <c:v>0.75014612550000004</c:v>
                </c:pt>
                <c:pt idx="11">
                  <c:v>0.53964048220000005</c:v>
                </c:pt>
                <c:pt idx="12">
                  <c:v>0.2813047971</c:v>
                </c:pt>
                <c:pt idx="13">
                  <c:v>0.2813047971</c:v>
                </c:pt>
                <c:pt idx="14">
                  <c:v>0.1875365313</c:v>
                </c:pt>
                <c:pt idx="15">
                  <c:v>0.18179425339999999</c:v>
                </c:pt>
              </c:numCache>
            </c:numRef>
          </c:xVal>
          <c:yVal>
            <c:numRef>
              <c:f>'Prekość końcowa a początkowa'!$B$8:$B$500</c:f>
              <c:numCache>
                <c:formatCode>General</c:formatCode>
                <c:ptCount val="493"/>
                <c:pt idx="0">
                  <c:v>14.252776385100001</c:v>
                </c:pt>
                <c:pt idx="1">
                  <c:v>10.2416846076</c:v>
                </c:pt>
                <c:pt idx="2">
                  <c:v>7.3464865734</c:v>
                </c:pt>
                <c:pt idx="3">
                  <c:v>5.2700747077000001</c:v>
                </c:pt>
                <c:pt idx="4">
                  <c:v>3.8444988932999999</c:v>
                </c:pt>
                <c:pt idx="5">
                  <c:v>2.7862283992000001</c:v>
                </c:pt>
                <c:pt idx="6">
                  <c:v>2.0035872473</c:v>
                </c:pt>
                <c:pt idx="7">
                  <c:v>1.4026735257</c:v>
                </c:pt>
                <c:pt idx="8">
                  <c:v>1.0314509224999999</c:v>
                </c:pt>
                <c:pt idx="9">
                  <c:v>0.75014612550000004</c:v>
                </c:pt>
                <c:pt idx="10">
                  <c:v>0.53964048220000005</c:v>
                </c:pt>
                <c:pt idx="11">
                  <c:v>0.2813047971</c:v>
                </c:pt>
                <c:pt idx="12">
                  <c:v>0.2813047971</c:v>
                </c:pt>
                <c:pt idx="13">
                  <c:v>0.1875365313</c:v>
                </c:pt>
                <c:pt idx="14">
                  <c:v>0.18179425339999999</c:v>
                </c:pt>
                <c:pt idx="15">
                  <c:v>9.3768265700000006E-2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9-4507-8076-DC6D181AE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02559"/>
        <c:axId val="2029109279"/>
      </c:scatterChart>
      <c:valAx>
        <c:axId val="202910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9279"/>
        <c:crosses val="autoZero"/>
        <c:crossBetween val="midCat"/>
      </c:valAx>
      <c:valAx>
        <c:axId val="20291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255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Błędy względne w każdym cyklu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'Prekość końcowa a początkowa'!$F$7</c:f>
              <c:strCache>
                <c:ptCount val="1"/>
                <c:pt idx="0">
                  <c:v>δvk1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'Prekość końcowa a początkowa'!$F$8:$F$23</c:f>
              <c:numCache>
                <c:formatCode>0.00%</c:formatCode>
                <c:ptCount val="16"/>
                <c:pt idx="0">
                  <c:v>5.9851747E-3</c:v>
                </c:pt>
                <c:pt idx="1">
                  <c:v>3.6463527000000001E-3</c:v>
                </c:pt>
                <c:pt idx="2">
                  <c:v>3.0751592000000001E-3</c:v>
                </c:pt>
                <c:pt idx="3">
                  <c:v>2.4378335000000001E-3</c:v>
                </c:pt>
                <c:pt idx="4">
                  <c:v>1.4865480800000001E-2</c:v>
                </c:pt>
                <c:pt idx="5">
                  <c:v>2.5504991300000002E-2</c:v>
                </c:pt>
                <c:pt idx="6">
                  <c:v>2.8485848500000001E-2</c:v>
                </c:pt>
                <c:pt idx="7">
                  <c:v>5.1402831999999999E-3</c:v>
                </c:pt>
                <c:pt idx="8">
                  <c:v>3.00911237E-2</c:v>
                </c:pt>
                <c:pt idx="9">
                  <c:v>4.3918998399999999E-2</c:v>
                </c:pt>
                <c:pt idx="10">
                  <c:v>4.7210212600000002E-2</c:v>
                </c:pt>
                <c:pt idx="11">
                  <c:v>0.31034463010000002</c:v>
                </c:pt>
                <c:pt idx="12">
                  <c:v>6.0608578900000001E-2</c:v>
                </c:pt>
                <c:pt idx="13">
                  <c:v>1.01803243E-2</c:v>
                </c:pt>
                <c:pt idx="14">
                  <c:v>0.25292244359999999</c:v>
                </c:pt>
                <c:pt idx="15">
                  <c:v>3.8367323699999997E-2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1-42BB-AA2D-52753126D2A4}"/>
            </c:ext>
          </c:extLst>
        </c:ser>
        <c:ser>
          <c:idx val="1"/>
          <c:order val="1"/>
          <c:tx>
            <c:strRef>
              <c:f>'Prekość końcowa a początkowa'!$G$7</c:f>
              <c:strCache>
                <c:ptCount val="1"/>
                <c:pt idx="0">
                  <c:v>δvk0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'Prekość końcowa a początkowa'!$G$8:$G$23</c:f>
              <c:numCache>
                <c:formatCode>0.00%</c:formatCode>
                <c:ptCount val="16"/>
                <c:pt idx="0">
                  <c:v>0</c:v>
                </c:pt>
                <c:pt idx="1">
                  <c:v>5.9851747E-3</c:v>
                </c:pt>
                <c:pt idx="2">
                  <c:v>3.6463527000000001E-3</c:v>
                </c:pt>
                <c:pt idx="3">
                  <c:v>3.0751592000000001E-3</c:v>
                </c:pt>
                <c:pt idx="4">
                  <c:v>2.4378335000000001E-3</c:v>
                </c:pt>
                <c:pt idx="5">
                  <c:v>1.4865480800000001E-2</c:v>
                </c:pt>
                <c:pt idx="6">
                  <c:v>2.5504991300000002E-2</c:v>
                </c:pt>
                <c:pt idx="7">
                  <c:v>2.8485848500000001E-2</c:v>
                </c:pt>
                <c:pt idx="8">
                  <c:v>5.1402831999999999E-3</c:v>
                </c:pt>
                <c:pt idx="9">
                  <c:v>3.00911237E-2</c:v>
                </c:pt>
                <c:pt idx="10">
                  <c:v>4.3918998399999999E-2</c:v>
                </c:pt>
                <c:pt idx="11">
                  <c:v>4.7210212600000002E-2</c:v>
                </c:pt>
                <c:pt idx="12">
                  <c:v>0.31034463010000002</c:v>
                </c:pt>
                <c:pt idx="13">
                  <c:v>6.0608578900000001E-2</c:v>
                </c:pt>
                <c:pt idx="14">
                  <c:v>1.01803243E-2</c:v>
                </c:pt>
                <c:pt idx="15">
                  <c:v>0.25292244359999999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1-42BB-AA2D-52753126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009503"/>
        <c:axId val="285014303"/>
      </c:barChart>
      <c:catAx>
        <c:axId val="2850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5014303"/>
        <c:crosses val="autoZero"/>
        <c:auto val="1"/>
        <c:lblAlgn val="ctr"/>
        <c:lblOffset val="100"/>
        <c:noMultiLvlLbl val="0"/>
      </c:catAx>
      <c:valAx>
        <c:axId val="2850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500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314110</xdr:colOff>
      <xdr:row>0</xdr:row>
      <xdr:rowOff>68654</xdr:rowOff>
    </xdr:from>
    <xdr:ext cx="2789542" cy="5437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5ED91542-73C9-D7FA-3C8A-A00ED99A277E}"/>
                </a:ext>
              </a:extLst>
            </xdr:cNvPr>
            <xdr:cNvSpPr txBox="1"/>
          </xdr:nvSpPr>
          <xdr:spPr>
            <a:xfrm>
              <a:off x="314110" y="68654"/>
              <a:ext cx="2789542" cy="5437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6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pl-PL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600" b="0" i="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l-PL" sz="1600" b="0" i="0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pl-PL" sz="1600" b="0" i="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pl-PL" sz="16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pl-PL" sz="1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l-PL" sz="16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l-PL" sz="16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pl-PL" sz="1600" i="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pl-PL" sz="16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pl-PL" sz="160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pl-PL" sz="1600" i="1">
                            <a:latin typeface="Cambria Math" panose="02040503050406030204" pitchFamily="18" charset="0"/>
                          </a:rPr>
                          <m:t>𝑔</m:t>
                        </m:r>
                        <m:d>
                          <m:dPr>
                            <m:ctrlPr>
                              <a:rPr lang="pl-PL" sz="16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pl-PL" sz="16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60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pl-PL" sz="16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  <m:r>
                              <a:rPr lang="pl-PL" sz="16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pl-PL" sz="160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  <m:func>
                              <m:funcPr>
                                <m:ctrlPr>
                                  <a:rPr lang="pl-PL" sz="16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600" i="0">
                                    <a:latin typeface="Cambria Math" panose="02040503050406030204" pitchFamily="18" charset="0"/>
                                  </a:rPr>
                                  <m:t>cos</m:t>
                                </m:r>
                              </m:fName>
                              <m:e>
                                <m:r>
                                  <a:rPr lang="pl-PL" sz="16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</m:e>
                        </m:d>
                      </m:den>
                    </m:f>
                  </m:oMath>
                </m:oMathPara>
              </a14:m>
              <a:endParaRPr lang="pl-PL" sz="1600"/>
            </a:p>
          </xdr:txBody>
        </xdr:sp>
      </mc:Choice>
      <mc:Fallback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5ED91542-73C9-D7FA-3C8A-A00ED99A277E}"/>
                </a:ext>
              </a:extLst>
            </xdr:cNvPr>
            <xdr:cNvSpPr txBox="1"/>
          </xdr:nvSpPr>
          <xdr:spPr>
            <a:xfrm>
              <a:off x="314110" y="68654"/>
              <a:ext cx="2789542" cy="5437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l-PL" sz="1600" i="0">
                  <a:latin typeface="Cambria Math" panose="02040503050406030204" pitchFamily="18" charset="0"/>
                </a:rPr>
                <a:t>𝑥</a:t>
              </a:r>
              <a:r>
                <a:rPr lang="pl-PL" sz="1600" b="0" i="0">
                  <a:latin typeface="Cambria Math" panose="02040503050406030204" pitchFamily="18" charset="0"/>
                </a:rPr>
                <a:t>_𝑘 (𝑣_𝑘0 )</a:t>
              </a:r>
              <a:r>
                <a:rPr lang="pl-PL" sz="1600" i="0">
                  <a:latin typeface="Cambria Math" panose="02040503050406030204" pitchFamily="18" charset="0"/>
                </a:rPr>
                <a:t>=</a:t>
              </a:r>
              <a:r>
                <a:rPr lang="pl-PL" sz="1600" b="0" i="0">
                  <a:latin typeface="Cambria Math" panose="02040503050406030204" pitchFamily="18" charset="0"/>
                </a:rPr>
                <a:t>(</a:t>
              </a:r>
              <a:r>
                <a:rPr lang="pl-PL" sz="1600" i="0">
                  <a:latin typeface="Cambria Math" panose="02040503050406030204" pitchFamily="18" charset="0"/>
                </a:rPr>
                <a:t>𝑣</a:t>
              </a:r>
              <a:r>
                <a:rPr lang="pl-PL" sz="1600" b="0" i="0">
                  <a:latin typeface="Cambria Math" panose="02040503050406030204" pitchFamily="18" charset="0"/>
                </a:rPr>
                <a:t>_</a:t>
              </a:r>
              <a:r>
                <a:rPr lang="pl-PL" sz="1600" i="0">
                  <a:latin typeface="Cambria Math" panose="02040503050406030204" pitchFamily="18" charset="0"/>
                </a:rPr>
                <a:t>𝑘0^2</a:t>
              </a:r>
              <a:r>
                <a:rPr lang="pl-PL" sz="1600" b="0" i="0">
                  <a:latin typeface="Cambria Math" panose="02040503050406030204" pitchFamily="18" charset="0"/>
                </a:rPr>
                <a:t>)/</a:t>
              </a:r>
              <a:r>
                <a:rPr lang="pl-PL" sz="1600" i="0">
                  <a:latin typeface="Cambria Math" panose="02040503050406030204" pitchFamily="18" charset="0"/>
                </a:rPr>
                <a:t>2𝑔(sin⁡𝜃+𝜇 cos⁡𝜃 ) 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533400</xdr:colOff>
      <xdr:row>0</xdr:row>
      <xdr:rowOff>138112</xdr:rowOff>
    </xdr:from>
    <xdr:to>
      <xdr:col>17</xdr:col>
      <xdr:colOff>552450</xdr:colOff>
      <xdr:row>16</xdr:row>
      <xdr:rowOff>104775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4A473B1-9337-2C4B-E674-25DFFD525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199060</xdr:colOff>
      <xdr:row>0</xdr:row>
      <xdr:rowOff>112426</xdr:rowOff>
    </xdr:from>
    <xdr:to>
      <xdr:col>31</xdr:col>
      <xdr:colOff>44505</xdr:colOff>
      <xdr:row>22</xdr:row>
      <xdr:rowOff>10259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F274ECC0-6D2E-E859-6902-3848BFF57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545814</xdr:colOff>
      <xdr:row>17</xdr:row>
      <xdr:rowOff>0</xdr:rowOff>
    </xdr:from>
    <xdr:to>
      <xdr:col>17</xdr:col>
      <xdr:colOff>577921</xdr:colOff>
      <xdr:row>34</xdr:row>
      <xdr:rowOff>139129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88B40A1-4B67-B8D2-7E1F-A78E1DFCB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543673</xdr:colOff>
      <xdr:row>35</xdr:row>
      <xdr:rowOff>49980</xdr:rowOff>
    </xdr:from>
    <xdr:to>
      <xdr:col>18</xdr:col>
      <xdr:colOff>21404</xdr:colOff>
      <xdr:row>53</xdr:row>
      <xdr:rowOff>53511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8F4C56D-D4D2-4FA8-A27F-595077EC8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106680</xdr:colOff>
      <xdr:row>0</xdr:row>
      <xdr:rowOff>171450</xdr:rowOff>
    </xdr:from>
    <xdr:ext cx="2583180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E5B66D9-DAB3-9069-5E4E-C25CEE8CD21D}"/>
                </a:ext>
              </a:extLst>
            </xdr:cNvPr>
            <xdr:cNvSpPr txBox="1"/>
          </xdr:nvSpPr>
          <xdr:spPr>
            <a:xfrm>
              <a:off x="106680" y="171450"/>
              <a:ext cx="258318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pl-PL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pl-PL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pl-PL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l-PL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pl-PL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  <m:r>
                          <a:rPr lang="pl-PL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pl-PL" sz="11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pl-PL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pl-PL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pl-PL" sz="11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pl-PL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func>
                              <m:funcPr>
                                <m:ctrlPr>
                                  <a:rPr lang="pl-PL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pl-PL" sz="11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  <m:r>
                              <a:rPr lang="pl-PL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l-PL" sz="110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  <m:func>
                              <m:funcPr>
                                <m:ctrlPr>
                                  <a:rPr lang="pl-PL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i="0">
                                    <a:latin typeface="Cambria Math" panose="02040503050406030204" pitchFamily="18" charset="0"/>
                                  </a:rPr>
                                  <m:t>cos</m:t>
                                </m:r>
                              </m:fName>
                              <m:e>
                                <m:r>
                                  <a:rPr lang="pl-PL" sz="11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</m:num>
                          <m:den>
                            <m:func>
                              <m:funcPr>
                                <m:ctrlPr>
                                  <a:rPr lang="pl-PL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pl-PL" sz="11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  <m:r>
                              <a:rPr lang="pl-PL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pl-PL" sz="110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  <m:func>
                              <m:funcPr>
                                <m:ctrlPr>
                                  <a:rPr lang="pl-PL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i="0">
                                    <a:latin typeface="Cambria Math" panose="02040503050406030204" pitchFamily="18" charset="0"/>
                                  </a:rPr>
                                  <m:t>cos</m:t>
                                </m:r>
                              </m:fName>
                              <m:e>
                                <m:r>
                                  <a:rPr lang="pl-PL" sz="11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</m:den>
                        </m:f>
                      </m:e>
                    </m:rad>
                  </m:oMath>
                </m:oMathPara>
              </a14:m>
            </a:p>
          </xdr:txBody>
        </xdr:sp>
      </mc:Choice>
      <mc:Fallback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DE5B66D9-DAB3-9069-5E4E-C25CEE8CD21D}"/>
                </a:ext>
              </a:extLst>
            </xdr:cNvPr>
            <xdr:cNvSpPr txBox="1"/>
          </xdr:nvSpPr>
          <xdr:spPr>
            <a:xfrm>
              <a:off x="106680" y="171450"/>
              <a:ext cx="258318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l-PL" sz="1100" i="0">
                  <a:latin typeface="Cambria Math" panose="02040503050406030204" pitchFamily="18" charset="0"/>
                </a:rPr>
                <a:t>𝑣_𝑘1</a:t>
              </a:r>
              <a:r>
                <a:rPr lang="pl-PL" sz="1100" b="0" i="0">
                  <a:latin typeface="Cambria Math" panose="02040503050406030204" pitchFamily="18" charset="0"/>
                </a:rPr>
                <a:t> (</a:t>
              </a:r>
              <a:r>
                <a:rPr lang="pl-PL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𝑣_𝑘0</a:t>
              </a:r>
              <a:r>
                <a:rPr lang="pl-PL" sz="1100" b="0" i="0">
                  <a:latin typeface="Cambria Math" panose="02040503050406030204" pitchFamily="18" charset="0"/>
                </a:rPr>
                <a:t>)</a:t>
              </a:r>
              <a:r>
                <a:rPr lang="pl-PL" sz="1100" i="0">
                  <a:latin typeface="Cambria Math" panose="02040503050406030204" pitchFamily="18" charset="0"/>
                </a:rPr>
                <a:t>=𝑣_𝑘0 √((sin⁡𝜃−𝜇 cos⁡𝜃)/(sin⁡𝜃+𝜇 cos⁡𝜃 ))</a:t>
              </a:r>
            </a:p>
          </xdr:txBody>
        </xdr:sp>
      </mc:Fallback>
    </mc:AlternateContent>
    <xdr:clientData/>
  </xdr:oneCellAnchor>
  <xdr:twoCellAnchor>
    <xdr:from>
      <xdr:col>7</xdr:col>
      <xdr:colOff>350520</xdr:colOff>
      <xdr:row>1</xdr:row>
      <xdr:rowOff>15240</xdr:rowOff>
    </xdr:from>
    <xdr:to>
      <xdr:col>18</xdr:col>
      <xdr:colOff>350734</xdr:colOff>
      <xdr:row>16</xdr:row>
      <xdr:rowOff>117351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2FCDC45-2B35-45DF-B83C-385CD122C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17</xdr:row>
      <xdr:rowOff>106680</xdr:rowOff>
    </xdr:from>
    <xdr:to>
      <xdr:col>18</xdr:col>
      <xdr:colOff>350734</xdr:colOff>
      <xdr:row>33</xdr:row>
      <xdr:rowOff>41151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6369CDFA-D287-4AD6-94F1-CDB1945C8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464820</xdr:colOff>
      <xdr:row>1</xdr:row>
      <xdr:rowOff>7620</xdr:rowOff>
    </xdr:from>
    <xdr:to>
      <xdr:col>30</xdr:col>
      <xdr:colOff>327660</xdr:colOff>
      <xdr:row>16</xdr:row>
      <xdr:rowOff>106680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87F7DCE4-29CD-EC43-B2C6-8EF2FC398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139AFA-7B4A-4727-A130-7DFDF829CD61}" autoFormatId="16" applyNumberFormats="0" applyBorderFormats="0" applyFontFormats="0" applyPatternFormats="0" applyAlignmentFormats="0" applyWidthHeightFormats="0">
  <queryTableRefresh nextId="51">
    <queryTableFields count="50">
      <queryTableField id="1" name="cycle_number" tableColumnId="1"/>
      <queryTableField id="2" name="duration1_measured" tableColumnId="2"/>
      <queryTableField id="3" name="duration2_measured" tableColumnId="3"/>
      <queryTableField id="4" name="duration_measured" tableColumnId="4"/>
      <queryTableField id="5" name="start_velocity_x_measured" tableColumnId="5"/>
      <queryTableField id="6" name="start_velocity_y_measured" tableColumnId="6"/>
      <queryTableField id="7" name="start_velocity_value_measured" tableColumnId="7"/>
      <queryTableField id="8" name="end_velocity_x_measured" tableColumnId="8"/>
      <queryTableField id="9" name="end_velocity_y_measured" tableColumnId="9"/>
      <queryTableField id="10" name="end_velocity_value_measured" tableColumnId="10"/>
      <queryTableField id="11" name="reach_x_measured" tableColumnId="11"/>
      <queryTableField id="12" name="reach_y_measured" tableColumnId="12"/>
      <queryTableField id="13" name="reach_value_measured" tableColumnId="13"/>
      <queryTableField id="14" name="duration1_model" tableColumnId="14"/>
      <queryTableField id="15" name="duration2_model" tableColumnId="15"/>
      <queryTableField id="16" name="duration_model" tableColumnId="16"/>
      <queryTableField id="17" name="start_velocity_x_model" tableColumnId="17"/>
      <queryTableField id="18" name="start_velocity_y_model" tableColumnId="18"/>
      <queryTableField id="19" name="start_velocity_value_model" tableColumnId="19"/>
      <queryTableField id="20" name="end_velocity_x_model" tableColumnId="20"/>
      <queryTableField id="21" name="end_velocity_y_model" tableColumnId="21"/>
      <queryTableField id="22" name="end_velocity_value_model" tableColumnId="22"/>
      <queryTableField id="23" name="reach_x_model" tableColumnId="23"/>
      <queryTableField id="24" name="reach_y_model" tableColumnId="24"/>
      <queryTableField id="25" name="reach_value_model" tableColumnId="25"/>
      <queryTableField id="26" name="error_duration1" tableColumnId="26"/>
      <queryTableField id="27" name="error_rel_duration1" tableColumnId="27"/>
      <queryTableField id="28" name="error_duration2" tableColumnId="28"/>
      <queryTableField id="29" name="error_rel_duration2" tableColumnId="29"/>
      <queryTableField id="30" name="error_duration" tableColumnId="30"/>
      <queryTableField id="31" name="error_rel_duration" tableColumnId="31"/>
      <queryTableField id="32" name="error_start_velocity_x" tableColumnId="32"/>
      <queryTableField id="33" name="error_rel_start_velocity_x" tableColumnId="33"/>
      <queryTableField id="34" name="error_start_velocity_y" tableColumnId="34"/>
      <queryTableField id="35" name="error_rel_start_velocity_y" tableColumnId="35"/>
      <queryTableField id="36" name="error_start_velocity_value" tableColumnId="36"/>
      <queryTableField id="37" name="error_rel_start_velocity_value" tableColumnId="37"/>
      <queryTableField id="38" name="error_end_velocity_x" tableColumnId="38"/>
      <queryTableField id="39" name="error_rel_end_velocity_x" tableColumnId="39"/>
      <queryTableField id="40" name="error_end_velocity_y" tableColumnId="40"/>
      <queryTableField id="41" name="error_rel_end_velocity_y" tableColumnId="41"/>
      <queryTableField id="42" name="error_end_velocity_value" tableColumnId="42"/>
      <queryTableField id="43" name="error_rel_end_velocity_value" tableColumnId="43"/>
      <queryTableField id="44" name="error_reach_x" tableColumnId="44"/>
      <queryTableField id="45" name="error_rel_reach_x" tableColumnId="45"/>
      <queryTableField id="46" name="error_reach_y" tableColumnId="46"/>
      <queryTableField id="47" name="error_rel_reach_y" tableColumnId="47"/>
      <queryTableField id="48" name="error_reach_value" tableColumnId="48"/>
      <queryTableField id="49" name="error_rel_reach_value" tableColumnId="49"/>
      <queryTableField id="50" name="is_full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3751A-CADE-4E6D-B8B6-D8A830153CE5}" name="output" displayName="output" ref="A1:AX17" tableType="queryTable" totalsRowShown="0">
  <autoFilter ref="A1:AX17" xr:uid="{1DC3751A-CADE-4E6D-B8B6-D8A830153CE5}"/>
  <tableColumns count="50">
    <tableColumn id="1" xr3:uid="{9AEF55BD-00F7-43CE-986E-FF4E3A62FA8C}" uniqueName="1" name="cycle_number" queryTableFieldId="1"/>
    <tableColumn id="2" xr3:uid="{890D01C8-4C18-43C7-962B-B8B3AB2BE420}" uniqueName="2" name="duration1_measured" queryTableFieldId="2"/>
    <tableColumn id="3" xr3:uid="{5DA151A4-F433-4D43-9E73-C7D6C45CC726}" uniqueName="3" name="duration2_measured" queryTableFieldId="3"/>
    <tableColumn id="4" xr3:uid="{8E0EF2BD-DCD0-475B-B6BA-C6B423A9A099}" uniqueName="4" name="duration_measured" queryTableFieldId="4"/>
    <tableColumn id="5" xr3:uid="{DD9B929E-28F0-4828-BF64-54D60F5BE555}" uniqueName="5" name="start_velocity_x_measured" queryTableFieldId="5"/>
    <tableColumn id="6" xr3:uid="{99D44E0E-E4DB-4881-900F-0A425B549649}" uniqueName="6" name="start_velocity_y_measured" queryTableFieldId="6"/>
    <tableColumn id="7" xr3:uid="{7CF7DA2A-4352-4AA5-B7DA-D4FDFE7EA4C3}" uniqueName="7" name="start_velocity_value_measured" queryTableFieldId="7"/>
    <tableColumn id="8" xr3:uid="{B60D7F5A-248C-48F5-B702-FAF94185EA41}" uniqueName="8" name="end_velocity_x_measured" queryTableFieldId="8"/>
    <tableColumn id="9" xr3:uid="{B2AF8384-ED9F-420D-B37C-E51CB7DF4C31}" uniqueName="9" name="end_velocity_y_measured" queryTableFieldId="9"/>
    <tableColumn id="10" xr3:uid="{EB760A98-FF37-4331-BCAC-2FC1BFCD1A4F}" uniqueName="10" name="end_velocity_value_measured" queryTableFieldId="10"/>
    <tableColumn id="11" xr3:uid="{51E8BB20-514E-4D9E-98B4-1DBB60E7834C}" uniqueName="11" name="reach_x_measured" queryTableFieldId="11"/>
    <tableColumn id="12" xr3:uid="{34F36C74-2AB8-4B7F-B9AD-D27ADB620587}" uniqueName="12" name="reach_y_measured" queryTableFieldId="12"/>
    <tableColumn id="13" xr3:uid="{1FF21425-4622-4E14-A61F-3F4CCF86A38C}" uniqueName="13" name="reach_value_measured" queryTableFieldId="13"/>
    <tableColumn id="14" xr3:uid="{86D88913-2BBB-4EBE-ABAC-25106CA6C29B}" uniqueName="14" name="duration1_model" queryTableFieldId="14"/>
    <tableColumn id="15" xr3:uid="{C9F17C3D-4FC6-4818-82E4-69F77C2800DE}" uniqueName="15" name="duration2_model" queryTableFieldId="15"/>
    <tableColumn id="16" xr3:uid="{4C835482-F56F-4CDD-93D8-8BC2E34E9000}" uniqueName="16" name="duration_model" queryTableFieldId="16"/>
    <tableColumn id="17" xr3:uid="{7358D20E-30E6-42B5-8F8A-9E336ED07499}" uniqueName="17" name="start_velocity_x_model" queryTableFieldId="17"/>
    <tableColumn id="18" xr3:uid="{A5D901BB-3D15-4936-B127-3C23FB854F9F}" uniqueName="18" name="start_velocity_y_model" queryTableFieldId="18"/>
    <tableColumn id="19" xr3:uid="{5301ACCB-C203-4CF1-9D87-E44724C8CC88}" uniqueName="19" name="start_velocity_value_model" queryTableFieldId="19"/>
    <tableColumn id="20" xr3:uid="{56EBA28C-5C80-4210-B940-79274A2DE575}" uniqueName="20" name="end_velocity_x_model" queryTableFieldId="20"/>
    <tableColumn id="21" xr3:uid="{9F0F0FF7-D98E-4868-849A-E47DD147FEAE}" uniqueName="21" name="end_velocity_y_model" queryTableFieldId="21"/>
    <tableColumn id="22" xr3:uid="{51C26940-6F5C-4573-8B7E-426C4FED30E8}" uniqueName="22" name="end_velocity_value_model" queryTableFieldId="22"/>
    <tableColumn id="23" xr3:uid="{3916D47D-1243-4FEB-BF19-B74DF57C1E99}" uniqueName="23" name="reach_x_model" queryTableFieldId="23"/>
    <tableColumn id="24" xr3:uid="{81C1B1E5-A2BE-4896-98C9-B0539725D4B8}" uniqueName="24" name="reach_y_model" queryTableFieldId="24"/>
    <tableColumn id="25" xr3:uid="{B8565609-B230-49D2-BC66-A45B71F98F5B}" uniqueName="25" name="reach_value_model" queryTableFieldId="25"/>
    <tableColumn id="26" xr3:uid="{AA24564E-5B2D-48D4-B78D-58C5FB698A49}" uniqueName="26" name="error_duration1" queryTableFieldId="26"/>
    <tableColumn id="27" xr3:uid="{24F7D99C-A89A-4051-94A6-15FCD906DE8E}" uniqueName="27" name="error_rel_duration1" queryTableFieldId="27"/>
    <tableColumn id="28" xr3:uid="{65B5A1CD-9872-4A20-8B53-442E1FE53116}" uniqueName="28" name="error_duration2" queryTableFieldId="28"/>
    <tableColumn id="29" xr3:uid="{EBC3271E-F2BA-4902-B802-FAE3F9467B5C}" uniqueName="29" name="error_rel_duration2" queryTableFieldId="29"/>
    <tableColumn id="30" xr3:uid="{B6CC15A0-537F-41AE-AD3A-95829EEEC69A}" uniqueName="30" name="error_duration" queryTableFieldId="30"/>
    <tableColumn id="31" xr3:uid="{E6A6D052-9873-4AE0-8BBD-9EEAD2F5C1E5}" uniqueName="31" name="error_rel_duration" queryTableFieldId="31"/>
    <tableColumn id="32" xr3:uid="{D2EB6848-9363-41FC-B51A-F2866DA673F6}" uniqueName="32" name="error_start_velocity_x" queryTableFieldId="32"/>
    <tableColumn id="33" xr3:uid="{CDC81703-D920-48C3-9A0D-19C1EBD3CB02}" uniqueName="33" name="error_rel_start_velocity_x" queryTableFieldId="33"/>
    <tableColumn id="34" xr3:uid="{20051A89-315D-4315-B73D-3C980E26B34B}" uniqueName="34" name="error_start_velocity_y" queryTableFieldId="34"/>
    <tableColumn id="35" xr3:uid="{64C80E95-53CF-4B04-922B-95B62AC78875}" uniqueName="35" name="error_rel_start_velocity_y" queryTableFieldId="35"/>
    <tableColumn id="36" xr3:uid="{8984C032-E63F-465D-8F87-79690828D5D9}" uniqueName="36" name="error_start_velocity_value" queryTableFieldId="36"/>
    <tableColumn id="37" xr3:uid="{D6D794E7-6DEA-4B21-920E-2B2E93C93D33}" uniqueName="37" name="error_rel_start_velocity_value" queryTableFieldId="37"/>
    <tableColumn id="38" xr3:uid="{E027831A-24BC-443B-AEAC-5B04A2A7FF70}" uniqueName="38" name="error_end_velocity_x" queryTableFieldId="38"/>
    <tableColumn id="39" xr3:uid="{8726CAE5-22EA-4F42-9946-FCA082813D6D}" uniqueName="39" name="error_rel_end_velocity_x" queryTableFieldId="39"/>
    <tableColumn id="40" xr3:uid="{12C391DC-F27E-48ED-AF03-78F29F553C98}" uniqueName="40" name="error_end_velocity_y" queryTableFieldId="40"/>
    <tableColumn id="41" xr3:uid="{A3694884-3A4F-4034-95C4-14DC9AEF412A}" uniqueName="41" name="error_rel_end_velocity_y" queryTableFieldId="41"/>
    <tableColumn id="42" xr3:uid="{DFD93B11-8EF0-4B15-A60F-6C5F865B220C}" uniqueName="42" name="error_end_velocity_value" queryTableFieldId="42"/>
    <tableColumn id="43" xr3:uid="{247B617D-494B-4D73-A079-825BD0DA4FFD}" uniqueName="43" name="error_rel_end_velocity_value" queryTableFieldId="43"/>
    <tableColumn id="44" xr3:uid="{33E69A74-D4BF-42B6-A92F-E73E0A1CE892}" uniqueName="44" name="error_reach_x" queryTableFieldId="44"/>
    <tableColumn id="45" xr3:uid="{8328C292-BB60-4290-A97F-86548BF49ED9}" uniqueName="45" name="error_rel_reach_x" queryTableFieldId="45"/>
    <tableColumn id="46" xr3:uid="{68773392-72D7-47E0-AA1C-71F6B6B4EDFC}" uniqueName="46" name="error_reach_y" queryTableFieldId="46"/>
    <tableColumn id="47" xr3:uid="{EAA8713E-10D2-45CB-8707-3E90C5566089}" uniqueName="47" name="error_rel_reach_y" queryTableFieldId="47"/>
    <tableColumn id="48" xr3:uid="{BFC03A7B-BFC7-4B4C-BD66-E5A3562F5DAC}" uniqueName="48" name="error_reach_value" queryTableFieldId="48"/>
    <tableColumn id="49" xr3:uid="{6AC1BC91-FFA6-49ED-A990-BD6698710662}" uniqueName="49" name="error_rel_reach_value" queryTableFieldId="49"/>
    <tableColumn id="50" xr3:uid="{14821EF6-7221-4E76-AEA4-CC6CEFB8857E}" uniqueName="50" name="is_full" queryTableFieldId="5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C5EC-EE7E-4A19-A8E1-887C94D4D72D}">
  <dimension ref="A1:AX17"/>
  <sheetViews>
    <sheetView workbookViewId="0">
      <selection activeCell="D3" sqref="D3"/>
    </sheetView>
  </sheetViews>
  <sheetFormatPr defaultRowHeight="14.4" x14ac:dyDescent="0.3"/>
  <cols>
    <col min="1" max="1" width="15.109375" bestFit="1" customWidth="1"/>
    <col min="2" max="3" width="21" bestFit="1" customWidth="1"/>
    <col min="4" max="4" width="20" bestFit="1" customWidth="1"/>
    <col min="5" max="5" width="26.109375" bestFit="1" customWidth="1"/>
    <col min="6" max="6" width="26.21875" bestFit="1" customWidth="1"/>
    <col min="7" max="7" width="29.88671875" bestFit="1" customWidth="1"/>
    <col min="8" max="8" width="25.5546875" bestFit="1" customWidth="1"/>
    <col min="9" max="9" width="25.6640625" bestFit="1" customWidth="1"/>
    <col min="10" max="10" width="29.33203125" bestFit="1" customWidth="1"/>
    <col min="11" max="11" width="19.21875" bestFit="1" customWidth="1"/>
    <col min="12" max="12" width="19.44140625" bestFit="1" customWidth="1"/>
    <col min="13" max="13" width="23" bestFit="1" customWidth="1"/>
    <col min="14" max="15" width="17.88671875" bestFit="1" customWidth="1"/>
    <col min="16" max="16" width="16.88671875" bestFit="1" customWidth="1"/>
    <col min="17" max="17" width="23" bestFit="1" customWidth="1"/>
    <col min="18" max="18" width="23.109375" bestFit="1" customWidth="1"/>
    <col min="19" max="19" width="26.77734375" bestFit="1" customWidth="1"/>
    <col min="20" max="20" width="22.44140625" bestFit="1" customWidth="1"/>
    <col min="21" max="21" width="22.5546875" bestFit="1" customWidth="1"/>
    <col min="22" max="22" width="26.21875" bestFit="1" customWidth="1"/>
    <col min="23" max="23" width="16.21875" bestFit="1" customWidth="1"/>
    <col min="24" max="24" width="16.33203125" bestFit="1" customWidth="1"/>
    <col min="25" max="25" width="20" bestFit="1" customWidth="1"/>
    <col min="26" max="26" width="16.6640625" bestFit="1" customWidth="1"/>
    <col min="27" max="27" width="19.88671875" bestFit="1" customWidth="1"/>
    <col min="28" max="28" width="16.6640625" bestFit="1" customWidth="1"/>
    <col min="29" max="29" width="19.88671875" bestFit="1" customWidth="1"/>
    <col min="30" max="30" width="15.6640625" bestFit="1" customWidth="1"/>
    <col min="31" max="31" width="18.77734375" bestFit="1" customWidth="1"/>
    <col min="32" max="32" width="21.77734375" bestFit="1" customWidth="1"/>
    <col min="33" max="33" width="25" bestFit="1" customWidth="1"/>
    <col min="34" max="34" width="21.88671875" bestFit="1" customWidth="1"/>
    <col min="35" max="35" width="25.109375" bestFit="1" customWidth="1"/>
    <col min="36" max="36" width="25.5546875" bestFit="1" customWidth="1"/>
    <col min="37" max="37" width="28.77734375" bestFit="1" customWidth="1"/>
    <col min="38" max="38" width="21.21875" bestFit="1" customWidth="1"/>
    <col min="39" max="39" width="24.44140625" bestFit="1" customWidth="1"/>
    <col min="40" max="40" width="21.33203125" bestFit="1" customWidth="1"/>
    <col min="41" max="41" width="24.5546875" bestFit="1" customWidth="1"/>
    <col min="42" max="42" width="25" bestFit="1" customWidth="1"/>
    <col min="43" max="43" width="28.21875" bestFit="1" customWidth="1"/>
    <col min="44" max="44" width="14.88671875" bestFit="1" customWidth="1"/>
    <col min="45" max="45" width="18.109375" bestFit="1" customWidth="1"/>
    <col min="46" max="46" width="15" bestFit="1" customWidth="1"/>
    <col min="47" max="47" width="18.21875" bestFit="1" customWidth="1"/>
    <col min="48" max="48" width="18.6640625" bestFit="1" customWidth="1"/>
    <col min="49" max="49" width="21.88671875" bestFit="1" customWidth="1"/>
    <col min="50" max="50" width="8.332031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>
        <v>0</v>
      </c>
      <c r="B2">
        <v>1.7899999619</v>
      </c>
      <c r="C2">
        <v>2.5299999714000001</v>
      </c>
      <c r="D2">
        <v>4.3199999333000001</v>
      </c>
      <c r="E2">
        <v>10.806046117399999</v>
      </c>
      <c r="F2">
        <v>16.829419696199999</v>
      </c>
      <c r="G2">
        <v>20.000000000099998</v>
      </c>
      <c r="H2">
        <v>-7.6734845207999998</v>
      </c>
      <c r="I2">
        <v>-12.010798058100001</v>
      </c>
      <c r="J2">
        <v>14.252776385100001</v>
      </c>
      <c r="K2">
        <v>9.4205910957000007</v>
      </c>
      <c r="L2">
        <v>15.499555898300001</v>
      </c>
      <c r="M2">
        <v>18.137909737299999</v>
      </c>
      <c r="N2">
        <v>1.8340188761</v>
      </c>
      <c r="O2">
        <v>2.5582485986000001</v>
      </c>
      <c r="P2">
        <v>4.3922674746999997</v>
      </c>
      <c r="Q2">
        <v>10.806046117399999</v>
      </c>
      <c r="R2">
        <v>16.829419696199999</v>
      </c>
      <c r="S2">
        <v>20.000000000099998</v>
      </c>
      <c r="T2">
        <v>-7.7468986269000002</v>
      </c>
      <c r="U2">
        <v>-12.0650797636</v>
      </c>
      <c r="V2">
        <v>14.3380817419</v>
      </c>
      <c r="W2">
        <v>9.9092462775999994</v>
      </c>
      <c r="X2">
        <v>15.432736698299999</v>
      </c>
      <c r="Y2">
        <v>18.340188761</v>
      </c>
      <c r="Z2">
        <v>4.4018914200000002E-2</v>
      </c>
      <c r="AA2">
        <v>2.4591572700000001E-2</v>
      </c>
      <c r="AB2">
        <v>2.8248627200000001E-2</v>
      </c>
      <c r="AC2">
        <v>1.11654654E-2</v>
      </c>
      <c r="AD2">
        <v>7.2267541399999996E-2</v>
      </c>
      <c r="AE2">
        <v>1.6728597800000002E-2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7.3414106100000001E-2</v>
      </c>
      <c r="AM2">
        <v>-9.5672450000000003E-3</v>
      </c>
      <c r="AN2">
        <v>5.4281705499999999E-2</v>
      </c>
      <c r="AO2">
        <v>-4.5194086999999997E-3</v>
      </c>
      <c r="AP2">
        <v>8.5305356799999996E-2</v>
      </c>
      <c r="AQ2">
        <v>5.9851747E-3</v>
      </c>
      <c r="AR2">
        <v>0.48865518190000001</v>
      </c>
      <c r="AS2">
        <v>5.18709683E-2</v>
      </c>
      <c r="AT2">
        <v>6.6819199999999995E-2</v>
      </c>
      <c r="AU2">
        <v>4.3110396000000002E-3</v>
      </c>
      <c r="AV2">
        <v>0.2022790237</v>
      </c>
      <c r="AW2">
        <v>1.1152278700000001E-2</v>
      </c>
      <c r="AX2" t="b">
        <v>1</v>
      </c>
    </row>
    <row r="3" spans="1:50" x14ac:dyDescent="0.3">
      <c r="A3">
        <v>1</v>
      </c>
      <c r="B3">
        <v>1.3099999428</v>
      </c>
      <c r="C3">
        <v>1.8299999237</v>
      </c>
      <c r="D3">
        <v>3.1399998665000002</v>
      </c>
      <c r="E3">
        <v>7.6734845207999998</v>
      </c>
      <c r="F3">
        <v>12.010798058100001</v>
      </c>
      <c r="G3">
        <v>14.252776385100001</v>
      </c>
      <c r="H3">
        <v>-5.5139718874000003</v>
      </c>
      <c r="I3">
        <v>-8.6306556892999993</v>
      </c>
      <c r="J3">
        <v>10.2416846076</v>
      </c>
      <c r="K3">
        <v>5.0827186626999996</v>
      </c>
      <c r="L3">
        <v>7.9556435252000002</v>
      </c>
      <c r="M3">
        <v>9.4406722697000003</v>
      </c>
      <c r="N3">
        <v>1.3148156281000001</v>
      </c>
      <c r="O3">
        <v>1.8340188761</v>
      </c>
      <c r="P3">
        <v>3.1488345041999999</v>
      </c>
      <c r="Q3">
        <v>7.7468986269000002</v>
      </c>
      <c r="R3">
        <v>12.0650797636</v>
      </c>
      <c r="S3">
        <v>14.3380817419</v>
      </c>
      <c r="T3">
        <v>-5.5537832879</v>
      </c>
      <c r="U3">
        <v>-8.6495049936000008</v>
      </c>
      <c r="V3">
        <v>10.279029401800001</v>
      </c>
      <c r="W3">
        <v>5.0928716919000001</v>
      </c>
      <c r="X3">
        <v>7.9316777136000001</v>
      </c>
      <c r="Y3">
        <v>9.4259669754999997</v>
      </c>
      <c r="Z3">
        <v>4.8156852999999998E-3</v>
      </c>
      <c r="AA3">
        <v>3.6760958000000002E-3</v>
      </c>
      <c r="AB3">
        <v>4.0189524000000003E-3</v>
      </c>
      <c r="AC3">
        <v>2.1961489000000001E-3</v>
      </c>
      <c r="AD3">
        <v>8.8346377E-3</v>
      </c>
      <c r="AE3">
        <v>2.8135790000000001E-3</v>
      </c>
      <c r="AF3">
        <v>7.3414106100000001E-2</v>
      </c>
      <c r="AG3">
        <v>9.5672450000000003E-3</v>
      </c>
      <c r="AH3">
        <v>5.4281705499999999E-2</v>
      </c>
      <c r="AI3">
        <v>4.5194086999999997E-3</v>
      </c>
      <c r="AJ3">
        <v>8.5305356799999996E-2</v>
      </c>
      <c r="AK3">
        <v>5.9851747E-3</v>
      </c>
      <c r="AL3">
        <v>3.9811400500000003E-2</v>
      </c>
      <c r="AM3">
        <v>-7.2200948999999997E-3</v>
      </c>
      <c r="AN3">
        <v>1.8849304300000001E-2</v>
      </c>
      <c r="AO3">
        <v>-2.1839945E-3</v>
      </c>
      <c r="AP3">
        <v>3.7344794200000003E-2</v>
      </c>
      <c r="AQ3">
        <v>3.6463527000000001E-3</v>
      </c>
      <c r="AR3">
        <v>1.01530292E-2</v>
      </c>
      <c r="AS3">
        <v>1.9975587999999998E-3</v>
      </c>
      <c r="AT3">
        <v>2.3965811600000001E-2</v>
      </c>
      <c r="AU3">
        <v>3.0124290000000001E-3</v>
      </c>
      <c r="AV3">
        <v>1.47052942E-2</v>
      </c>
      <c r="AW3">
        <v>1.5576533000000001E-3</v>
      </c>
      <c r="AX3" t="b">
        <v>1</v>
      </c>
    </row>
    <row r="4" spans="1:50" x14ac:dyDescent="0.3">
      <c r="A4">
        <v>2</v>
      </c>
      <c r="B4">
        <v>0.94000005720000002</v>
      </c>
      <c r="C4">
        <v>1.3099999428</v>
      </c>
      <c r="D4">
        <v>2.25</v>
      </c>
      <c r="E4">
        <v>5.5139718874000003</v>
      </c>
      <c r="F4">
        <v>8.6306556892999993</v>
      </c>
      <c r="G4">
        <v>10.2416846076</v>
      </c>
      <c r="H4">
        <v>-3.9552399814000001</v>
      </c>
      <c r="I4">
        <v>-6.1908756782000003</v>
      </c>
      <c r="J4">
        <v>7.3464865734</v>
      </c>
      <c r="K4">
        <v>2.6381945972</v>
      </c>
      <c r="L4">
        <v>4.1293916028000002</v>
      </c>
      <c r="M4">
        <v>4.9001985411</v>
      </c>
      <c r="N4">
        <v>0.94259669749999997</v>
      </c>
      <c r="O4">
        <v>1.3148156281000001</v>
      </c>
      <c r="P4">
        <v>2.2574123255999998</v>
      </c>
      <c r="Q4">
        <v>5.5537832879</v>
      </c>
      <c r="R4">
        <v>8.6495049936000008</v>
      </c>
      <c r="S4">
        <v>10.279029401800001</v>
      </c>
      <c r="T4">
        <v>-3.9815299379</v>
      </c>
      <c r="U4">
        <v>-6.2008654812000001</v>
      </c>
      <c r="V4">
        <v>7.3690781894999997</v>
      </c>
      <c r="W4">
        <v>2.617488893</v>
      </c>
      <c r="X4">
        <v>4.0764974211</v>
      </c>
      <c r="Y4">
        <v>4.8444895839999997</v>
      </c>
      <c r="Z4">
        <v>2.5966403E-3</v>
      </c>
      <c r="AA4">
        <v>2.7623830999999998E-3</v>
      </c>
      <c r="AB4">
        <v>4.8156852999999998E-3</v>
      </c>
      <c r="AC4">
        <v>3.6760958000000002E-3</v>
      </c>
      <c r="AD4">
        <v>7.4123256000000002E-3</v>
      </c>
      <c r="AE4">
        <v>3.2943668999999998E-3</v>
      </c>
      <c r="AF4">
        <v>3.9811400500000003E-2</v>
      </c>
      <c r="AG4">
        <v>7.2200948999999997E-3</v>
      </c>
      <c r="AH4">
        <v>1.8849304300000001E-2</v>
      </c>
      <c r="AI4">
        <v>2.1839945E-3</v>
      </c>
      <c r="AJ4">
        <v>3.7344794200000003E-2</v>
      </c>
      <c r="AK4">
        <v>3.6463527000000001E-3</v>
      </c>
      <c r="AL4">
        <v>2.6289956499999999E-2</v>
      </c>
      <c r="AM4">
        <v>-6.6468676000000001E-3</v>
      </c>
      <c r="AN4">
        <v>9.9898030000000002E-3</v>
      </c>
      <c r="AO4">
        <v>-1.6136333000000001E-3</v>
      </c>
      <c r="AP4">
        <v>2.25916161E-2</v>
      </c>
      <c r="AQ4">
        <v>3.0751592000000001E-3</v>
      </c>
      <c r="AR4">
        <v>2.0705704200000001E-2</v>
      </c>
      <c r="AS4">
        <v>7.8484369999999998E-3</v>
      </c>
      <c r="AT4">
        <v>5.2894181700000001E-2</v>
      </c>
      <c r="AU4">
        <v>1.2809194899999999E-2</v>
      </c>
      <c r="AV4">
        <v>5.5708957099999998E-2</v>
      </c>
      <c r="AW4">
        <v>1.1368714300000001E-2</v>
      </c>
      <c r="AX4" t="b">
        <v>1</v>
      </c>
    </row>
    <row r="5" spans="1:50" x14ac:dyDescent="0.3">
      <c r="A5">
        <v>3</v>
      </c>
      <c r="B5">
        <v>0.68000006680000002</v>
      </c>
      <c r="C5">
        <v>0.94000005720000002</v>
      </c>
      <c r="D5">
        <v>1.6200001239999999</v>
      </c>
      <c r="E5">
        <v>3.9552399814000001</v>
      </c>
      <c r="F5">
        <v>6.1908756782000003</v>
      </c>
      <c r="G5">
        <v>7.3464865734</v>
      </c>
      <c r="H5">
        <v>-2.8373304681999998</v>
      </c>
      <c r="I5">
        <v>-4.4410858176000003</v>
      </c>
      <c r="J5">
        <v>5.2700747077000001</v>
      </c>
      <c r="K5">
        <v>1.3662443560999999</v>
      </c>
      <c r="L5">
        <v>2.1384919737999999</v>
      </c>
      <c r="M5">
        <v>2.5376704991999999</v>
      </c>
      <c r="N5">
        <v>0.67575142489999995</v>
      </c>
      <c r="O5">
        <v>0.94259669749999997</v>
      </c>
      <c r="P5">
        <v>1.6183481224</v>
      </c>
      <c r="Q5">
        <v>3.9815299379</v>
      </c>
      <c r="R5">
        <v>6.2008654812000001</v>
      </c>
      <c r="S5">
        <v>7.3690781894999997</v>
      </c>
      <c r="T5">
        <v>-2.8543750854000001</v>
      </c>
      <c r="U5">
        <v>-4.4454258070000003</v>
      </c>
      <c r="V5">
        <v>5.2829222722000004</v>
      </c>
      <c r="W5">
        <v>1.3452622645000001</v>
      </c>
      <c r="X5">
        <v>2.0951218424000002</v>
      </c>
      <c r="Y5">
        <v>2.4898325434999999</v>
      </c>
      <c r="Z5">
        <v>4.2486418999999999E-3</v>
      </c>
      <c r="AA5">
        <v>6.2480022E-3</v>
      </c>
      <c r="AB5">
        <v>2.5966403E-3</v>
      </c>
      <c r="AC5">
        <v>2.7623830999999998E-3</v>
      </c>
      <c r="AD5">
        <v>1.6520015999999999E-3</v>
      </c>
      <c r="AE5">
        <v>1.0197540000000001E-3</v>
      </c>
      <c r="AF5">
        <v>2.6289956499999999E-2</v>
      </c>
      <c r="AG5">
        <v>6.6468676000000001E-3</v>
      </c>
      <c r="AH5">
        <v>9.9898030000000002E-3</v>
      </c>
      <c r="AI5">
        <v>1.6136333000000001E-3</v>
      </c>
      <c r="AJ5">
        <v>2.25916161E-2</v>
      </c>
      <c r="AK5">
        <v>3.0751592000000001E-3</v>
      </c>
      <c r="AL5">
        <v>1.7044617200000001E-2</v>
      </c>
      <c r="AM5">
        <v>-6.0072724999999999E-3</v>
      </c>
      <c r="AN5">
        <v>4.3399894E-3</v>
      </c>
      <c r="AO5">
        <v>-9.7723610000000007E-4</v>
      </c>
      <c r="AP5">
        <v>1.28475645E-2</v>
      </c>
      <c r="AQ5">
        <v>2.4378335000000001E-3</v>
      </c>
      <c r="AR5">
        <v>2.0982091599999999E-2</v>
      </c>
      <c r="AS5">
        <v>1.53574955E-2</v>
      </c>
      <c r="AT5">
        <v>4.3370131399999998E-2</v>
      </c>
      <c r="AU5">
        <v>2.0280708099999999E-2</v>
      </c>
      <c r="AV5">
        <v>4.7837955699999997E-2</v>
      </c>
      <c r="AW5">
        <v>1.88511297E-2</v>
      </c>
      <c r="AX5" t="b">
        <v>1</v>
      </c>
    </row>
    <row r="6" spans="1:50" x14ac:dyDescent="0.3">
      <c r="A6">
        <v>4</v>
      </c>
      <c r="B6">
        <v>0.47000002860000001</v>
      </c>
      <c r="C6">
        <v>0.71000003810000001</v>
      </c>
      <c r="D6">
        <v>1.1800000666999999</v>
      </c>
      <c r="E6">
        <v>2.8373304681999998</v>
      </c>
      <c r="F6">
        <v>4.4410858176000003</v>
      </c>
      <c r="G6">
        <v>5.2700747077000001</v>
      </c>
      <c r="H6">
        <v>-2.0698214826000001</v>
      </c>
      <c r="I6">
        <v>-3.2397547392999999</v>
      </c>
      <c r="J6">
        <v>3.8444988932999999</v>
      </c>
      <c r="K6">
        <v>0.70908656619999999</v>
      </c>
      <c r="L6">
        <v>1.1098863272999999</v>
      </c>
      <c r="M6">
        <v>1.3170616606000001</v>
      </c>
      <c r="N6">
        <v>0.48444895840000002</v>
      </c>
      <c r="O6">
        <v>0.67575142489999995</v>
      </c>
      <c r="P6">
        <v>1.1602003833000001</v>
      </c>
      <c r="Q6">
        <v>2.8543750854000001</v>
      </c>
      <c r="R6">
        <v>4.4454258070000003</v>
      </c>
      <c r="S6">
        <v>5.2829222722000004</v>
      </c>
      <c r="T6">
        <v>-2.0463131647999999</v>
      </c>
      <c r="U6">
        <v>-3.1869439299</v>
      </c>
      <c r="V6">
        <v>3.7873485687000001</v>
      </c>
      <c r="W6">
        <v>0.69139951850000003</v>
      </c>
      <c r="X6">
        <v>1.0767909509</v>
      </c>
      <c r="Y6">
        <v>1.2796530960000001</v>
      </c>
      <c r="Z6">
        <v>1.44489298E-2</v>
      </c>
      <c r="AA6">
        <v>3.0742401999999999E-2</v>
      </c>
      <c r="AB6">
        <v>3.42486132E-2</v>
      </c>
      <c r="AC6">
        <v>4.8237480800000003E-2</v>
      </c>
      <c r="AD6">
        <v>1.97996834E-2</v>
      </c>
      <c r="AE6">
        <v>1.6779391800000001E-2</v>
      </c>
      <c r="AF6">
        <v>1.7044617200000001E-2</v>
      </c>
      <c r="AG6">
        <v>6.0072724999999999E-3</v>
      </c>
      <c r="AH6">
        <v>4.3399894E-3</v>
      </c>
      <c r="AI6">
        <v>9.7723610000000007E-4</v>
      </c>
      <c r="AJ6">
        <v>1.28475645E-2</v>
      </c>
      <c r="AK6">
        <v>2.4378335000000001E-3</v>
      </c>
      <c r="AL6">
        <v>2.3508317800000001E-2</v>
      </c>
      <c r="AM6">
        <v>-1.13576548E-2</v>
      </c>
      <c r="AN6">
        <v>5.2810809399999999E-2</v>
      </c>
      <c r="AO6">
        <v>-1.63008665E-2</v>
      </c>
      <c r="AP6">
        <v>5.7150324600000003E-2</v>
      </c>
      <c r="AQ6">
        <v>1.4865480800000001E-2</v>
      </c>
      <c r="AR6">
        <v>1.76870477E-2</v>
      </c>
      <c r="AS6">
        <v>2.4943425200000001E-2</v>
      </c>
      <c r="AT6">
        <v>3.3095376400000001E-2</v>
      </c>
      <c r="AU6">
        <v>2.9818708100000001E-2</v>
      </c>
      <c r="AV6">
        <v>3.7408564599999999E-2</v>
      </c>
      <c r="AW6">
        <v>2.8403047300000001E-2</v>
      </c>
      <c r="AX6" t="b">
        <v>1</v>
      </c>
    </row>
    <row r="7" spans="1:50" x14ac:dyDescent="0.3">
      <c r="A7">
        <v>5</v>
      </c>
      <c r="B7">
        <v>0.34999990460000002</v>
      </c>
      <c r="C7">
        <v>0.5099999905</v>
      </c>
      <c r="D7">
        <v>0.85999989509999997</v>
      </c>
      <c r="E7">
        <v>2.0698214826000001</v>
      </c>
      <c r="F7">
        <v>3.2397547392999999</v>
      </c>
      <c r="G7">
        <v>3.8444988932999999</v>
      </c>
      <c r="H7">
        <v>-1.5000642622</v>
      </c>
      <c r="I7">
        <v>-2.3479514265999999</v>
      </c>
      <c r="J7">
        <v>2.7862283992000001</v>
      </c>
      <c r="K7">
        <v>0.38317162529999998</v>
      </c>
      <c r="L7">
        <v>0.59975321530000003</v>
      </c>
      <c r="M7">
        <v>0.71170528570000002</v>
      </c>
      <c r="N7">
        <v>0.34730343829999999</v>
      </c>
      <c r="O7">
        <v>0.48444895840000002</v>
      </c>
      <c r="P7">
        <v>0.83175239670000001</v>
      </c>
      <c r="Q7">
        <v>2.0463131647999999</v>
      </c>
      <c r="R7">
        <v>3.1869439299</v>
      </c>
      <c r="S7">
        <v>3.7873485687000001</v>
      </c>
      <c r="T7">
        <v>-1.4670102712999999</v>
      </c>
      <c r="U7">
        <v>-2.2847331287000001</v>
      </c>
      <c r="V7">
        <v>2.7151656681</v>
      </c>
      <c r="W7">
        <v>0.35534579900000002</v>
      </c>
      <c r="X7">
        <v>0.55341829220000005</v>
      </c>
      <c r="Y7">
        <v>0.65767958989999997</v>
      </c>
      <c r="Z7">
        <v>2.6964662999999999E-3</v>
      </c>
      <c r="AA7">
        <v>7.7041914999999997E-3</v>
      </c>
      <c r="AB7">
        <v>2.5551032099999999E-2</v>
      </c>
      <c r="AC7">
        <v>5.0100063899999998E-2</v>
      </c>
      <c r="AD7">
        <v>2.8247498400000001E-2</v>
      </c>
      <c r="AE7">
        <v>3.28459324E-2</v>
      </c>
      <c r="AF7">
        <v>2.3508317800000001E-2</v>
      </c>
      <c r="AG7">
        <v>1.13576548E-2</v>
      </c>
      <c r="AH7">
        <v>5.2810809399999999E-2</v>
      </c>
      <c r="AI7">
        <v>1.63008665E-2</v>
      </c>
      <c r="AJ7">
        <v>5.7150324600000003E-2</v>
      </c>
      <c r="AK7">
        <v>1.4865480800000001E-2</v>
      </c>
      <c r="AL7">
        <v>3.3053990900000003E-2</v>
      </c>
      <c r="AM7">
        <v>-2.2035049899999999E-2</v>
      </c>
      <c r="AN7">
        <v>6.3218297899999998E-2</v>
      </c>
      <c r="AO7">
        <v>-2.69248747E-2</v>
      </c>
      <c r="AP7">
        <v>7.1062731099999998E-2</v>
      </c>
      <c r="AQ7">
        <v>2.5504991300000002E-2</v>
      </c>
      <c r="AR7">
        <v>2.7825826299999998E-2</v>
      </c>
      <c r="AS7">
        <v>7.2619746499999999E-2</v>
      </c>
      <c r="AT7">
        <v>4.6334923100000001E-2</v>
      </c>
      <c r="AU7">
        <v>7.7256648100000005E-2</v>
      </c>
      <c r="AV7">
        <v>5.4025695800000002E-2</v>
      </c>
      <c r="AW7">
        <v>7.5910207300000004E-2</v>
      </c>
      <c r="AX7" t="b">
        <v>1</v>
      </c>
    </row>
    <row r="8" spans="1:50" x14ac:dyDescent="0.3">
      <c r="A8">
        <v>6</v>
      </c>
      <c r="B8">
        <v>0.2599999905</v>
      </c>
      <c r="C8">
        <v>0.37000012399999999</v>
      </c>
      <c r="D8">
        <v>0.63000011450000004</v>
      </c>
      <c r="E8">
        <v>1.5000642622</v>
      </c>
      <c r="F8">
        <v>2.3479514265999999</v>
      </c>
      <c r="G8">
        <v>2.7862283992000001</v>
      </c>
      <c r="H8">
        <v>-1.0787018130999999</v>
      </c>
      <c r="I8">
        <v>-1.6884206395000001</v>
      </c>
      <c r="J8">
        <v>2.0035872473</v>
      </c>
      <c r="K8">
        <v>0.20562574210000001</v>
      </c>
      <c r="L8">
        <v>0.32185238109999997</v>
      </c>
      <c r="M8">
        <v>0.38193049239999999</v>
      </c>
      <c r="N8">
        <v>0.24898325430000001</v>
      </c>
      <c r="O8">
        <v>0.34730343829999999</v>
      </c>
      <c r="P8">
        <v>0.5962866926</v>
      </c>
      <c r="Q8">
        <v>1.4670102712999999</v>
      </c>
      <c r="R8">
        <v>2.2847331287000001</v>
      </c>
      <c r="S8">
        <v>2.7151656681</v>
      </c>
      <c r="T8">
        <v>-1.0517056593</v>
      </c>
      <c r="U8">
        <v>-1.6379345178</v>
      </c>
      <c r="V8">
        <v>1.9465133645999999</v>
      </c>
      <c r="W8">
        <v>0.18263049579999999</v>
      </c>
      <c r="X8">
        <v>0.28443014480000001</v>
      </c>
      <c r="Y8">
        <v>0.33801539209999998</v>
      </c>
      <c r="Z8">
        <v>1.10167362E-2</v>
      </c>
      <c r="AA8">
        <v>4.23720639E-2</v>
      </c>
      <c r="AB8">
        <v>2.26966857E-2</v>
      </c>
      <c r="AC8">
        <v>6.1342373200000001E-2</v>
      </c>
      <c r="AD8">
        <v>3.3713421899999998E-2</v>
      </c>
      <c r="AE8">
        <v>5.3513358400000002E-2</v>
      </c>
      <c r="AF8">
        <v>3.3053990900000003E-2</v>
      </c>
      <c r="AG8">
        <v>2.2035049899999999E-2</v>
      </c>
      <c r="AH8">
        <v>6.3218297899999998E-2</v>
      </c>
      <c r="AI8">
        <v>2.69248747E-2</v>
      </c>
      <c r="AJ8">
        <v>7.1062731099999998E-2</v>
      </c>
      <c r="AK8">
        <v>2.5504991300000002E-2</v>
      </c>
      <c r="AL8">
        <v>2.6996153799999999E-2</v>
      </c>
      <c r="AM8">
        <v>-2.5026521199999999E-2</v>
      </c>
      <c r="AN8">
        <v>5.0486121699999997E-2</v>
      </c>
      <c r="AO8">
        <v>-2.9901388599999999E-2</v>
      </c>
      <c r="AP8">
        <v>5.7073882700000002E-2</v>
      </c>
      <c r="AQ8">
        <v>2.8485848500000001E-2</v>
      </c>
      <c r="AR8">
        <v>2.2995246300000001E-2</v>
      </c>
      <c r="AS8">
        <v>0.1118305814</v>
      </c>
      <c r="AT8">
        <v>3.7422236300000002E-2</v>
      </c>
      <c r="AU8">
        <v>0.1162714291</v>
      </c>
      <c r="AV8">
        <v>4.3915100300000003E-2</v>
      </c>
      <c r="AW8">
        <v>0.1149819173</v>
      </c>
      <c r="AX8" t="b">
        <v>1</v>
      </c>
    </row>
    <row r="9" spans="1:50" x14ac:dyDescent="0.3">
      <c r="A9">
        <v>7</v>
      </c>
      <c r="B9">
        <v>0.1799998283</v>
      </c>
      <c r="C9">
        <v>0.26999998089999999</v>
      </c>
      <c r="D9">
        <v>0.44999980919999999</v>
      </c>
      <c r="E9">
        <v>1.0787018130999999</v>
      </c>
      <c r="F9">
        <v>1.6884206395000001</v>
      </c>
      <c r="G9">
        <v>2.0035872473</v>
      </c>
      <c r="H9">
        <v>-0.75517873120000001</v>
      </c>
      <c r="I9">
        <v>-1.1820313463000001</v>
      </c>
      <c r="J9">
        <v>1.4026735257</v>
      </c>
      <c r="K9">
        <v>0.1089559241</v>
      </c>
      <c r="L9">
        <v>0.17054150530000001</v>
      </c>
      <c r="M9">
        <v>0.20237538990000001</v>
      </c>
      <c r="N9">
        <v>0.17849711269999999</v>
      </c>
      <c r="O9">
        <v>0.24898325430000001</v>
      </c>
      <c r="P9">
        <v>0.42748036700000003</v>
      </c>
      <c r="Q9">
        <v>1.0517056593</v>
      </c>
      <c r="R9">
        <v>1.6379345178</v>
      </c>
      <c r="S9">
        <v>1.9465133645999999</v>
      </c>
      <c r="T9">
        <v>-0.75397208559999995</v>
      </c>
      <c r="U9">
        <v>-1.1742419502000001</v>
      </c>
      <c r="V9">
        <v>1.3954633865999999</v>
      </c>
      <c r="W9">
        <v>9.3863211799999999E-2</v>
      </c>
      <c r="X9">
        <v>0.1461832911</v>
      </c>
      <c r="Y9">
        <v>0.1737235077</v>
      </c>
      <c r="Z9">
        <v>1.5027155999999999E-3</v>
      </c>
      <c r="AA9">
        <v>8.3484279999999998E-3</v>
      </c>
      <c r="AB9">
        <v>2.1016726600000001E-2</v>
      </c>
      <c r="AC9">
        <v>7.7839733699999997E-2</v>
      </c>
      <c r="AD9">
        <v>2.25194422E-2</v>
      </c>
      <c r="AE9">
        <v>5.0043226099999998E-2</v>
      </c>
      <c r="AF9">
        <v>2.6996153799999999E-2</v>
      </c>
      <c r="AG9">
        <v>2.5026521199999999E-2</v>
      </c>
      <c r="AH9">
        <v>5.0486121699999997E-2</v>
      </c>
      <c r="AI9">
        <v>2.9901388599999999E-2</v>
      </c>
      <c r="AJ9">
        <v>5.7073882700000002E-2</v>
      </c>
      <c r="AK9">
        <v>2.8485848500000001E-2</v>
      </c>
      <c r="AL9">
        <v>1.2066456000000001E-3</v>
      </c>
      <c r="AM9">
        <v>-1.5978278000000001E-3</v>
      </c>
      <c r="AN9">
        <v>7.7893961000000001E-3</v>
      </c>
      <c r="AO9">
        <v>-6.5898388999999996E-3</v>
      </c>
      <c r="AP9">
        <v>7.2101391000000004E-3</v>
      </c>
      <c r="AQ9">
        <v>5.1402831999999999E-3</v>
      </c>
      <c r="AR9">
        <v>1.50927123E-2</v>
      </c>
      <c r="AS9">
        <v>0.13852126379999999</v>
      </c>
      <c r="AT9">
        <v>2.4358214199999999E-2</v>
      </c>
      <c r="AU9">
        <v>0.14282865719999999</v>
      </c>
      <c r="AV9">
        <v>2.8651882199999999E-2</v>
      </c>
      <c r="AW9">
        <v>0.14157789749999999</v>
      </c>
      <c r="AX9" t="b">
        <v>1</v>
      </c>
    </row>
    <row r="10" spans="1:50" x14ac:dyDescent="0.3">
      <c r="A10">
        <v>8</v>
      </c>
      <c r="B10">
        <v>0.13000011440000001</v>
      </c>
      <c r="C10">
        <v>0.20000004769999999</v>
      </c>
      <c r="D10">
        <v>0.33000016209999999</v>
      </c>
      <c r="E10">
        <v>0.75517873120000001</v>
      </c>
      <c r="F10">
        <v>1.1820313463000001</v>
      </c>
      <c r="G10">
        <v>1.4026735257</v>
      </c>
      <c r="H10">
        <v>-0.5553179587</v>
      </c>
      <c r="I10">
        <v>-0.86920249100000002</v>
      </c>
      <c r="J10">
        <v>1.0314509224999999</v>
      </c>
      <c r="K10">
        <v>5.5074143999999998E-2</v>
      </c>
      <c r="L10">
        <v>8.6203916800000002E-2</v>
      </c>
      <c r="M10">
        <v>0.1022950468</v>
      </c>
      <c r="N10">
        <v>0.12796530959999999</v>
      </c>
      <c r="O10">
        <v>0.17849711260000001</v>
      </c>
      <c r="P10">
        <v>0.30646242219999997</v>
      </c>
      <c r="Q10">
        <v>0.75397208559999995</v>
      </c>
      <c r="R10">
        <v>1.1742419502000001</v>
      </c>
      <c r="S10">
        <v>1.3954633865999999</v>
      </c>
      <c r="T10">
        <v>-0.54052566970000004</v>
      </c>
      <c r="U10">
        <v>-0.84181885329999995</v>
      </c>
      <c r="V10">
        <v>1.0004134052</v>
      </c>
      <c r="W10">
        <v>4.82411357E-2</v>
      </c>
      <c r="X10">
        <v>7.5131117299999994E-2</v>
      </c>
      <c r="Y10">
        <v>8.9285452099999996E-2</v>
      </c>
      <c r="Z10">
        <v>2.0348048000000001E-3</v>
      </c>
      <c r="AA10">
        <v>1.5652330799999999E-2</v>
      </c>
      <c r="AB10">
        <v>2.1502935099999999E-2</v>
      </c>
      <c r="AC10">
        <v>0.10751464989999999</v>
      </c>
      <c r="AD10">
        <v>2.35377399E-2</v>
      </c>
      <c r="AE10">
        <v>7.13264495E-2</v>
      </c>
      <c r="AF10">
        <v>1.2066456000000001E-3</v>
      </c>
      <c r="AG10">
        <v>1.5978278000000001E-3</v>
      </c>
      <c r="AH10">
        <v>7.7893961000000001E-3</v>
      </c>
      <c r="AI10">
        <v>6.5898388999999996E-3</v>
      </c>
      <c r="AJ10">
        <v>7.2101391000000004E-3</v>
      </c>
      <c r="AK10">
        <v>5.1402831999999999E-3</v>
      </c>
      <c r="AL10">
        <v>1.4792289E-2</v>
      </c>
      <c r="AM10">
        <v>-2.66375124E-2</v>
      </c>
      <c r="AN10">
        <v>2.7383637700000001E-2</v>
      </c>
      <c r="AO10">
        <v>-3.1504324899999998E-2</v>
      </c>
      <c r="AP10">
        <v>3.1037517300000001E-2</v>
      </c>
      <c r="AQ10">
        <v>3.00911237E-2</v>
      </c>
      <c r="AR10">
        <v>6.8330083000000003E-3</v>
      </c>
      <c r="AS10">
        <v>0.1240692602</v>
      </c>
      <c r="AT10">
        <v>1.1072799499999999E-2</v>
      </c>
      <c r="AU10">
        <v>0.12844891410000001</v>
      </c>
      <c r="AV10">
        <v>1.30095947E-2</v>
      </c>
      <c r="AW10">
        <v>0.12717717140000001</v>
      </c>
      <c r="AX10" t="b">
        <v>1</v>
      </c>
    </row>
    <row r="11" spans="1:50" x14ac:dyDescent="0.3">
      <c r="A11">
        <v>9</v>
      </c>
      <c r="B11">
        <v>9.9999904599999995E-2</v>
      </c>
      <c r="C11">
        <v>0.15000009540000001</v>
      </c>
      <c r="D11">
        <v>0.25</v>
      </c>
      <c r="E11">
        <v>0.5553179587</v>
      </c>
      <c r="F11">
        <v>0.86920249100000002</v>
      </c>
      <c r="G11">
        <v>1.0314509224999999</v>
      </c>
      <c r="H11">
        <v>-0.40386760640000002</v>
      </c>
      <c r="I11">
        <v>-0.63214726619999995</v>
      </c>
      <c r="J11">
        <v>0.75014612550000004</v>
      </c>
      <c r="K11">
        <v>3.1167532000000001E-2</v>
      </c>
      <c r="L11">
        <v>4.8784477499999999E-2</v>
      </c>
      <c r="M11">
        <v>5.7890761700000001E-2</v>
      </c>
      <c r="N11">
        <v>9.1738853499999995E-2</v>
      </c>
      <c r="O11">
        <v>0.12796530959999999</v>
      </c>
      <c r="P11">
        <v>0.21970416309999999</v>
      </c>
      <c r="Q11">
        <v>0.54052566970000004</v>
      </c>
      <c r="R11">
        <v>0.84181885329999995</v>
      </c>
      <c r="S11">
        <v>1.0004134052</v>
      </c>
      <c r="T11">
        <v>-0.38750506179999999</v>
      </c>
      <c r="U11">
        <v>-0.60350337649999997</v>
      </c>
      <c r="V11">
        <v>0.71720045899999996</v>
      </c>
      <c r="W11">
        <v>2.4793602599999999E-2</v>
      </c>
      <c r="X11">
        <v>3.8613748199999999E-2</v>
      </c>
      <c r="Y11">
        <v>4.58883894E-2</v>
      </c>
      <c r="Z11">
        <v>8.2610510999999998E-3</v>
      </c>
      <c r="AA11">
        <v>8.2610589799999995E-2</v>
      </c>
      <c r="AB11">
        <v>2.2034785800000001E-2</v>
      </c>
      <c r="AC11">
        <v>0.14689847859999999</v>
      </c>
      <c r="AD11">
        <v>3.0295836900000001E-2</v>
      </c>
      <c r="AE11">
        <v>0.1211833476</v>
      </c>
      <c r="AF11">
        <v>1.4792289E-2</v>
      </c>
      <c r="AG11">
        <v>2.66375124E-2</v>
      </c>
      <c r="AH11">
        <v>2.7383637700000001E-2</v>
      </c>
      <c r="AI11">
        <v>3.1504324899999998E-2</v>
      </c>
      <c r="AJ11">
        <v>3.1037517300000001E-2</v>
      </c>
      <c r="AK11">
        <v>3.00911237E-2</v>
      </c>
      <c r="AL11">
        <v>1.6362544600000001E-2</v>
      </c>
      <c r="AM11">
        <v>-4.0514624899999997E-2</v>
      </c>
      <c r="AN11">
        <v>2.8643889700000001E-2</v>
      </c>
      <c r="AO11">
        <v>-4.5312051800000003E-2</v>
      </c>
      <c r="AP11">
        <v>3.2945666499999998E-2</v>
      </c>
      <c r="AQ11">
        <v>4.3918998399999999E-2</v>
      </c>
      <c r="AR11">
        <v>6.3739293999999997E-3</v>
      </c>
      <c r="AS11">
        <v>0.20450542569999999</v>
      </c>
      <c r="AT11">
        <v>1.01707293E-2</v>
      </c>
      <c r="AU11">
        <v>0.20848289910000001</v>
      </c>
      <c r="AV11">
        <v>1.20023723E-2</v>
      </c>
      <c r="AW11">
        <v>0.2073279388</v>
      </c>
      <c r="AX11" t="b">
        <v>1</v>
      </c>
    </row>
    <row r="12" spans="1:50" x14ac:dyDescent="0.3">
      <c r="A12">
        <v>10</v>
      </c>
      <c r="B12">
        <v>6.9999933200000003E-2</v>
      </c>
      <c r="C12">
        <v>0.10999989509999999</v>
      </c>
      <c r="D12">
        <v>0.1799998283</v>
      </c>
      <c r="E12">
        <v>0.40386760640000002</v>
      </c>
      <c r="F12">
        <v>0.63214726619999995</v>
      </c>
      <c r="G12">
        <v>0.75014612550000004</v>
      </c>
      <c r="H12">
        <v>-0.29053447380000003</v>
      </c>
      <c r="I12">
        <v>-0.45475440579999998</v>
      </c>
      <c r="J12">
        <v>0.53964048220000005</v>
      </c>
      <c r="K12">
        <v>1.71537987E-2</v>
      </c>
      <c r="L12">
        <v>2.6849707099999998E-2</v>
      </c>
      <c r="M12">
        <v>3.1861568999999999E-2</v>
      </c>
      <c r="N12">
        <v>6.5767959000000001E-2</v>
      </c>
      <c r="O12">
        <v>9.1738853499999995E-2</v>
      </c>
      <c r="P12">
        <v>0.15750681250000001</v>
      </c>
      <c r="Q12">
        <v>0.38750506179999999</v>
      </c>
      <c r="R12">
        <v>0.60350337649999997</v>
      </c>
      <c r="S12">
        <v>0.71720045899999996</v>
      </c>
      <c r="T12">
        <v>-0.2778039625</v>
      </c>
      <c r="U12">
        <v>-0.43265403720000001</v>
      </c>
      <c r="V12">
        <v>0.51416394030000001</v>
      </c>
      <c r="W12">
        <v>1.27427085E-2</v>
      </c>
      <c r="X12">
        <v>1.9845592700000001E-2</v>
      </c>
      <c r="Y12">
        <v>2.3584405199999998E-2</v>
      </c>
      <c r="Z12">
        <v>4.2319742000000004E-3</v>
      </c>
      <c r="AA12">
        <v>6.0456832000000002E-2</v>
      </c>
      <c r="AB12">
        <v>1.82610416E-2</v>
      </c>
      <c r="AC12">
        <v>0.1660096274</v>
      </c>
      <c r="AD12">
        <v>2.2493015799999998E-2</v>
      </c>
      <c r="AE12">
        <v>0.1249613181</v>
      </c>
      <c r="AF12">
        <v>1.6362544600000001E-2</v>
      </c>
      <c r="AG12">
        <v>4.0514624899999997E-2</v>
      </c>
      <c r="AH12">
        <v>2.8643889700000001E-2</v>
      </c>
      <c r="AI12">
        <v>4.5312051800000003E-2</v>
      </c>
      <c r="AJ12">
        <v>3.2945666499999998E-2</v>
      </c>
      <c r="AK12">
        <v>4.3918998399999999E-2</v>
      </c>
      <c r="AL12">
        <v>1.27305113E-2</v>
      </c>
      <c r="AM12">
        <v>-4.3817558499999999E-2</v>
      </c>
      <c r="AN12">
        <v>2.21003686E-2</v>
      </c>
      <c r="AO12">
        <v>-4.8598470599999999E-2</v>
      </c>
      <c r="AP12">
        <v>2.54765419E-2</v>
      </c>
      <c r="AQ12">
        <v>4.7210212600000002E-2</v>
      </c>
      <c r="AR12">
        <v>4.4110902000000004E-3</v>
      </c>
      <c r="AS12">
        <v>0.2571494674</v>
      </c>
      <c r="AT12">
        <v>7.0041143999999998E-3</v>
      </c>
      <c r="AU12">
        <v>0.26086371720000001</v>
      </c>
      <c r="AV12">
        <v>8.2771638000000008E-3</v>
      </c>
      <c r="AW12">
        <v>0.2597851914</v>
      </c>
      <c r="AX12" t="b">
        <v>1</v>
      </c>
    </row>
    <row r="13" spans="1:50" x14ac:dyDescent="0.3">
      <c r="A13">
        <v>11</v>
      </c>
      <c r="B13">
        <v>5.0000190700000002E-2</v>
      </c>
      <c r="C13">
        <v>6.9999933200000003E-2</v>
      </c>
      <c r="D13">
        <v>0.12000012390000001</v>
      </c>
      <c r="E13">
        <v>0.29053447380000003</v>
      </c>
      <c r="F13">
        <v>0.45475440579999998</v>
      </c>
      <c r="G13">
        <v>0.53964048220000005</v>
      </c>
      <c r="H13">
        <v>-0.15145035239999999</v>
      </c>
      <c r="I13">
        <v>-0.23705522479999999</v>
      </c>
      <c r="J13">
        <v>0.2813047971</v>
      </c>
      <c r="K13">
        <v>9.6329564999999995E-3</v>
      </c>
      <c r="L13">
        <v>1.507783E-2</v>
      </c>
      <c r="M13">
        <v>1.7892311399999999E-2</v>
      </c>
      <c r="N13">
        <v>4.7149318599999997E-2</v>
      </c>
      <c r="O13">
        <v>6.5767959000000001E-2</v>
      </c>
      <c r="P13">
        <v>0.1129172776</v>
      </c>
      <c r="Q13">
        <v>0.2778039625</v>
      </c>
      <c r="R13">
        <v>0.43265403720000001</v>
      </c>
      <c r="S13">
        <v>0.51416394030000001</v>
      </c>
      <c r="T13">
        <v>-0.19915879619999999</v>
      </c>
      <c r="U13">
        <v>-0.31017144759999998</v>
      </c>
      <c r="V13">
        <v>0.3686062303</v>
      </c>
      <c r="W13">
        <v>6.5491337999999998E-3</v>
      </c>
      <c r="X13">
        <v>1.01996715E-2</v>
      </c>
      <c r="Y13">
        <v>1.21212397E-2</v>
      </c>
      <c r="Z13">
        <v>2.8508721E-3</v>
      </c>
      <c r="AA13">
        <v>5.7017224499999998E-2</v>
      </c>
      <c r="AB13">
        <v>4.2319742000000004E-3</v>
      </c>
      <c r="AC13">
        <v>6.0456832000000002E-2</v>
      </c>
      <c r="AD13">
        <v>7.0828462999999999E-3</v>
      </c>
      <c r="AE13">
        <v>5.9023658200000002E-2</v>
      </c>
      <c r="AF13">
        <v>1.27305113E-2</v>
      </c>
      <c r="AG13">
        <v>4.3817558499999999E-2</v>
      </c>
      <c r="AH13">
        <v>2.21003686E-2</v>
      </c>
      <c r="AI13">
        <v>4.8598470599999999E-2</v>
      </c>
      <c r="AJ13">
        <v>2.54765419E-2</v>
      </c>
      <c r="AK13">
        <v>4.7210212600000002E-2</v>
      </c>
      <c r="AL13">
        <v>4.77084438E-2</v>
      </c>
      <c r="AM13">
        <v>-0.31501045090000002</v>
      </c>
      <c r="AN13">
        <v>7.3116222800000005E-2</v>
      </c>
      <c r="AO13">
        <v>-0.30843539879999998</v>
      </c>
      <c r="AP13">
        <v>8.73014332E-2</v>
      </c>
      <c r="AQ13">
        <v>0.31034463010000002</v>
      </c>
      <c r="AR13">
        <v>3.0838227000000002E-3</v>
      </c>
      <c r="AS13">
        <v>0.3201325263</v>
      </c>
      <c r="AT13">
        <v>4.8781585000000002E-3</v>
      </c>
      <c r="AU13">
        <v>0.32353186760000002</v>
      </c>
      <c r="AV13">
        <v>5.7710716999999998E-3</v>
      </c>
      <c r="AW13">
        <v>0.32254478310000001</v>
      </c>
      <c r="AX13" t="b">
        <v>1</v>
      </c>
    </row>
    <row r="14" spans="1:50" x14ac:dyDescent="0.3">
      <c r="A14">
        <v>12</v>
      </c>
      <c r="B14">
        <v>2.9999971399999999E-2</v>
      </c>
      <c r="C14">
        <v>6.9999933200000003E-2</v>
      </c>
      <c r="D14">
        <v>9.9999904599999995E-2</v>
      </c>
      <c r="E14">
        <v>0.15145035239999999</v>
      </c>
      <c r="F14">
        <v>0.23705522479999999</v>
      </c>
      <c r="G14">
        <v>0.2813047971</v>
      </c>
      <c r="H14">
        <v>-0.15145035239999999</v>
      </c>
      <c r="I14">
        <v>-0.23705522479999999</v>
      </c>
      <c r="J14">
        <v>0.2813047971</v>
      </c>
      <c r="K14">
        <v>3.4170894E-3</v>
      </c>
      <c r="L14">
        <v>5.3485440999999998E-3</v>
      </c>
      <c r="M14">
        <v>6.3469223999999998E-3</v>
      </c>
      <c r="N14">
        <v>3.3801539200000001E-2</v>
      </c>
      <c r="O14">
        <v>4.7149318599999997E-2</v>
      </c>
      <c r="P14">
        <v>8.0950857799999998E-2</v>
      </c>
      <c r="Q14">
        <v>0.19915879619999999</v>
      </c>
      <c r="R14">
        <v>0.31017144759999998</v>
      </c>
      <c r="S14">
        <v>0.3686062303</v>
      </c>
      <c r="T14">
        <v>-0.14277775500000001</v>
      </c>
      <c r="U14">
        <v>-0.22236317850000001</v>
      </c>
      <c r="V14">
        <v>0.2642553131</v>
      </c>
      <c r="W14">
        <v>3.3659368999999998E-3</v>
      </c>
      <c r="X14">
        <v>5.2421361999999997E-3</v>
      </c>
      <c r="Y14">
        <v>6.2297289999999998E-3</v>
      </c>
      <c r="Z14">
        <v>3.8015677999999999E-3</v>
      </c>
      <c r="AA14">
        <v>0.12671904749999999</v>
      </c>
      <c r="AB14">
        <v>2.2850614599999999E-2</v>
      </c>
      <c r="AC14">
        <v>0.32643766289999998</v>
      </c>
      <c r="AD14">
        <v>1.90490468E-2</v>
      </c>
      <c r="AE14">
        <v>0.19049064969999999</v>
      </c>
      <c r="AF14">
        <v>4.77084438E-2</v>
      </c>
      <c r="AG14">
        <v>0.31501045090000002</v>
      </c>
      <c r="AH14">
        <v>7.3116222800000005E-2</v>
      </c>
      <c r="AI14">
        <v>0.30843539879999998</v>
      </c>
      <c r="AJ14">
        <v>8.73014332E-2</v>
      </c>
      <c r="AK14">
        <v>0.31034463010000002</v>
      </c>
      <c r="AL14">
        <v>8.6725974000000008E-3</v>
      </c>
      <c r="AM14">
        <v>-5.7263633000000001E-2</v>
      </c>
      <c r="AN14">
        <v>1.4692046300000001E-2</v>
      </c>
      <c r="AO14">
        <v>-6.1977314800000002E-2</v>
      </c>
      <c r="AP14">
        <v>1.7049484E-2</v>
      </c>
      <c r="AQ14">
        <v>6.0608578900000001E-2</v>
      </c>
      <c r="AR14">
        <v>5.1152500000000002E-5</v>
      </c>
      <c r="AS14">
        <v>1.49696113E-2</v>
      </c>
      <c r="AT14">
        <v>1.0640789999999999E-4</v>
      </c>
      <c r="AU14">
        <v>1.9894741099999998E-2</v>
      </c>
      <c r="AV14">
        <v>1.171934E-4</v>
      </c>
      <c r="AW14">
        <v>1.8464602600000001E-2</v>
      </c>
      <c r="AX14" t="b">
        <v>1</v>
      </c>
    </row>
    <row r="15" spans="1:50" x14ac:dyDescent="0.3">
      <c r="A15">
        <v>13</v>
      </c>
      <c r="B15">
        <v>2.9999971399999999E-2</v>
      </c>
      <c r="C15">
        <v>5.0000190700000002E-2</v>
      </c>
      <c r="D15">
        <v>8.0000162099999994E-2</v>
      </c>
      <c r="E15">
        <v>0.15145035239999999</v>
      </c>
      <c r="F15">
        <v>0.23705522479999999</v>
      </c>
      <c r="G15">
        <v>0.2813047971</v>
      </c>
      <c r="H15">
        <v>-0.10096690160000001</v>
      </c>
      <c r="I15">
        <v>-0.15803681650000001</v>
      </c>
      <c r="J15">
        <v>0.1875365313</v>
      </c>
      <c r="K15">
        <v>3.4170894E-3</v>
      </c>
      <c r="L15">
        <v>5.3485440999999998E-3</v>
      </c>
      <c r="M15">
        <v>6.3469223999999998E-3</v>
      </c>
      <c r="N15">
        <v>2.4232461600000001E-2</v>
      </c>
      <c r="O15">
        <v>3.3801539200000001E-2</v>
      </c>
      <c r="P15">
        <v>5.8034000799999999E-2</v>
      </c>
      <c r="Q15">
        <v>0.14277775500000001</v>
      </c>
      <c r="R15">
        <v>0.22236317850000001</v>
      </c>
      <c r="S15">
        <v>0.2642553131</v>
      </c>
      <c r="T15">
        <v>-0.10235795609999999</v>
      </c>
      <c r="U15">
        <v>-0.1594130715</v>
      </c>
      <c r="V15">
        <v>0.18944571399999999</v>
      </c>
      <c r="W15">
        <v>1.7299282E-3</v>
      </c>
      <c r="X15">
        <v>2.6942035999999998E-3</v>
      </c>
      <c r="Y15">
        <v>3.2017783999999999E-3</v>
      </c>
      <c r="Z15">
        <v>5.7675097999999999E-3</v>
      </c>
      <c r="AA15">
        <v>0.19225050990000001</v>
      </c>
      <c r="AB15">
        <v>1.6198651500000001E-2</v>
      </c>
      <c r="AC15">
        <v>0.32397179440000001</v>
      </c>
      <c r="AD15">
        <v>2.1966161299999998E-2</v>
      </c>
      <c r="AE15">
        <v>0.27457645990000001</v>
      </c>
      <c r="AF15">
        <v>8.6725974000000008E-3</v>
      </c>
      <c r="AG15">
        <v>5.7263633000000001E-2</v>
      </c>
      <c r="AH15">
        <v>1.4692046300000001E-2</v>
      </c>
      <c r="AI15">
        <v>6.1977314800000002E-2</v>
      </c>
      <c r="AJ15">
        <v>1.7049484E-2</v>
      </c>
      <c r="AK15">
        <v>6.0608578900000001E-2</v>
      </c>
      <c r="AL15">
        <v>1.3910545E-3</v>
      </c>
      <c r="AM15">
        <v>-1.3777331800000001E-2</v>
      </c>
      <c r="AN15">
        <v>1.3762550000000001E-3</v>
      </c>
      <c r="AO15">
        <v>-8.7084455000000002E-3</v>
      </c>
      <c r="AP15">
        <v>1.9091827E-3</v>
      </c>
      <c r="AQ15">
        <v>1.01803243E-2</v>
      </c>
      <c r="AR15">
        <v>1.6871612E-3</v>
      </c>
      <c r="AS15">
        <v>0.49374218889999999</v>
      </c>
      <c r="AT15">
        <v>2.6543405E-3</v>
      </c>
      <c r="AU15">
        <v>0.49627346249999998</v>
      </c>
      <c r="AV15">
        <v>3.1451439999999999E-3</v>
      </c>
      <c r="AW15">
        <v>0.49553843609999998</v>
      </c>
      <c r="AX15" t="b">
        <v>1</v>
      </c>
    </row>
    <row r="16" spans="1:50" x14ac:dyDescent="0.3">
      <c r="A16">
        <v>14</v>
      </c>
      <c r="B16">
        <v>1.9999980899999999E-2</v>
      </c>
      <c r="C16">
        <v>4.9999952299999997E-2</v>
      </c>
      <c r="D16">
        <v>6.9999933200000003E-2</v>
      </c>
      <c r="E16">
        <v>0.10096690160000001</v>
      </c>
      <c r="F16">
        <v>0.15803681650000001</v>
      </c>
      <c r="G16">
        <v>0.1875365313</v>
      </c>
      <c r="H16">
        <v>-9.7875343899999995E-2</v>
      </c>
      <c r="I16">
        <v>-0.15319780559999999</v>
      </c>
      <c r="J16">
        <v>0.18179425339999999</v>
      </c>
      <c r="K16">
        <v>1.6827817E-3</v>
      </c>
      <c r="L16">
        <v>2.6339469000000002E-3</v>
      </c>
      <c r="M16">
        <v>3.1256088E-3</v>
      </c>
      <c r="N16">
        <v>1.7372350799999998E-2</v>
      </c>
      <c r="O16">
        <v>2.4232461600000001E-2</v>
      </c>
      <c r="P16">
        <v>4.1604812400000003E-2</v>
      </c>
      <c r="Q16">
        <v>0.10235795609999999</v>
      </c>
      <c r="R16">
        <v>0.1594130715</v>
      </c>
      <c r="S16">
        <v>0.18944571399999999</v>
      </c>
      <c r="T16">
        <v>-7.3380837099999999E-2</v>
      </c>
      <c r="U16">
        <v>-0.1142838825</v>
      </c>
      <c r="V16">
        <v>0.13581440659999999</v>
      </c>
      <c r="W16">
        <v>8.8909920000000003E-4</v>
      </c>
      <c r="X16">
        <v>1.3846899E-3</v>
      </c>
      <c r="Y16">
        <v>1.6455586999999999E-3</v>
      </c>
      <c r="Z16">
        <v>2.6276301000000002E-3</v>
      </c>
      <c r="AA16">
        <v>0.13138163050000001</v>
      </c>
      <c r="AB16">
        <v>2.5767490699999999E-2</v>
      </c>
      <c r="AC16">
        <v>0.51535030559999995</v>
      </c>
      <c r="AD16">
        <v>2.83951208E-2</v>
      </c>
      <c r="AE16">
        <v>0.40564496999999999</v>
      </c>
      <c r="AF16">
        <v>1.3910545E-3</v>
      </c>
      <c r="AG16">
        <v>1.3777331800000001E-2</v>
      </c>
      <c r="AH16">
        <v>1.3762550000000001E-3</v>
      </c>
      <c r="AI16">
        <v>8.7084455000000002E-3</v>
      </c>
      <c r="AJ16">
        <v>1.9091827E-3</v>
      </c>
      <c r="AK16">
        <v>1.01803243E-2</v>
      </c>
      <c r="AL16">
        <v>2.4494506799999999E-2</v>
      </c>
      <c r="AM16">
        <v>-0.25026228080000001</v>
      </c>
      <c r="AN16">
        <v>3.8913923099999997E-2</v>
      </c>
      <c r="AO16">
        <v>-0.2540109693</v>
      </c>
      <c r="AP16">
        <v>4.5979846800000002E-2</v>
      </c>
      <c r="AQ16">
        <v>0.25292244359999999</v>
      </c>
      <c r="AR16">
        <v>7.9368250000000004E-4</v>
      </c>
      <c r="AS16">
        <v>0.47164911529999998</v>
      </c>
      <c r="AT16">
        <v>1.2492569999999999E-3</v>
      </c>
      <c r="AU16">
        <v>0.47429088260000002</v>
      </c>
      <c r="AV16">
        <v>1.4800500999999999E-3</v>
      </c>
      <c r="AW16">
        <v>0.473523782</v>
      </c>
      <c r="AX16" t="b">
        <v>1</v>
      </c>
    </row>
    <row r="17" spans="1:50" x14ac:dyDescent="0.3">
      <c r="A17">
        <v>15</v>
      </c>
      <c r="B17">
        <v>1.9999980899999999E-2</v>
      </c>
      <c r="C17">
        <v>2.9999971399999999E-2</v>
      </c>
      <c r="D17">
        <v>4.9999952299999997E-2</v>
      </c>
      <c r="E17">
        <v>9.7875343899999995E-2</v>
      </c>
      <c r="F17">
        <v>0.15319780559999999</v>
      </c>
      <c r="G17">
        <v>0.18179425339999999</v>
      </c>
      <c r="H17">
        <v>-5.0483450800000003E-2</v>
      </c>
      <c r="I17">
        <v>-7.9018408299999995E-2</v>
      </c>
      <c r="J17">
        <v>9.3768265700000006E-2</v>
      </c>
      <c r="K17">
        <v>1.6312557000000001E-3</v>
      </c>
      <c r="L17">
        <v>2.5532967999999999E-3</v>
      </c>
      <c r="M17">
        <v>3.0299042E-3</v>
      </c>
      <c r="N17">
        <v>1.2454309300000001E-2</v>
      </c>
      <c r="O17">
        <v>1.7372350799999998E-2</v>
      </c>
      <c r="P17">
        <v>2.9826660099999999E-2</v>
      </c>
      <c r="Q17">
        <v>7.3380837099999999E-2</v>
      </c>
      <c r="R17">
        <v>0.1142838825</v>
      </c>
      <c r="S17">
        <v>0.13581440659999999</v>
      </c>
      <c r="T17">
        <v>-5.2607022000000003E-2</v>
      </c>
      <c r="U17">
        <v>-8.1930582399999993E-2</v>
      </c>
      <c r="V17">
        <v>9.7365903099999998E-2</v>
      </c>
      <c r="W17">
        <v>4.5695380000000002E-4</v>
      </c>
      <c r="X17">
        <v>7.1166339999999999E-4</v>
      </c>
      <c r="Y17">
        <v>8.4573730000000005E-4</v>
      </c>
      <c r="Z17">
        <v>7.5456715999999997E-3</v>
      </c>
      <c r="AA17">
        <v>0.37728394030000001</v>
      </c>
      <c r="AB17">
        <v>1.26276206E-2</v>
      </c>
      <c r="AC17">
        <v>0.42092108789999999</v>
      </c>
      <c r="AD17">
        <v>2.0173292200000002E-2</v>
      </c>
      <c r="AE17">
        <v>0.4034662289</v>
      </c>
      <c r="AF17">
        <v>2.4494506799999999E-2</v>
      </c>
      <c r="AG17">
        <v>0.25026228080000001</v>
      </c>
      <c r="AH17">
        <v>3.8913923099999997E-2</v>
      </c>
      <c r="AI17">
        <v>0.2540109693</v>
      </c>
      <c r="AJ17">
        <v>4.5979846800000002E-2</v>
      </c>
      <c r="AK17">
        <v>0.25292244359999999</v>
      </c>
      <c r="AL17">
        <v>2.1235711999999999E-3</v>
      </c>
      <c r="AM17">
        <v>-4.2064699699999999E-2</v>
      </c>
      <c r="AN17">
        <v>2.9121741E-3</v>
      </c>
      <c r="AO17">
        <v>-3.6854375600000003E-2</v>
      </c>
      <c r="AP17">
        <v>3.5976374E-3</v>
      </c>
      <c r="AQ17">
        <v>3.8367323699999997E-2</v>
      </c>
      <c r="AR17">
        <v>1.1743019000000001E-3</v>
      </c>
      <c r="AS17">
        <v>0.71987604400000005</v>
      </c>
      <c r="AT17">
        <v>1.8416334E-3</v>
      </c>
      <c r="AU17">
        <v>0.72127666469999996</v>
      </c>
      <c r="AV17">
        <v>2.1841668999999998E-3</v>
      </c>
      <c r="AW17">
        <v>0.72086995359999995</v>
      </c>
      <c r="AX1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abSelected="1" topLeftCell="F1" zoomScale="89" zoomScaleNormal="89" workbookViewId="0">
      <selection activeCell="T26" sqref="T26"/>
    </sheetView>
  </sheetViews>
  <sheetFormatPr defaultRowHeight="14.4" x14ac:dyDescent="0.3"/>
  <cols>
    <col min="2" max="2" width="8.6640625" customWidth="1"/>
    <col min="3" max="3" width="9.33203125" customWidth="1"/>
    <col min="12" max="12" width="17.6640625" bestFit="1" customWidth="1"/>
  </cols>
  <sheetData>
    <row r="1" spans="1:7" ht="14.4" customHeight="1" x14ac:dyDescent="0.3">
      <c r="A1" s="5"/>
      <c r="B1" s="5"/>
      <c r="C1" s="5"/>
      <c r="D1" s="5"/>
      <c r="E1" s="5"/>
      <c r="F1" s="5"/>
    </row>
    <row r="2" spans="1:7" ht="14.4" customHeight="1" x14ac:dyDescent="0.3">
      <c r="A2" s="5"/>
      <c r="B2" s="5"/>
      <c r="C2" s="5"/>
      <c r="D2" s="5"/>
      <c r="E2" s="5"/>
      <c r="F2" s="5"/>
    </row>
    <row r="3" spans="1:7" ht="14.4" customHeight="1" x14ac:dyDescent="0.3">
      <c r="A3" s="5"/>
      <c r="B3" s="5"/>
      <c r="C3" s="5"/>
      <c r="D3" s="5"/>
      <c r="E3" s="5"/>
      <c r="F3" s="5"/>
    </row>
    <row r="4" spans="1:7" ht="14.4" customHeight="1" x14ac:dyDescent="0.3">
      <c r="A4" s="5"/>
      <c r="B4" s="5"/>
      <c r="C4" s="5"/>
      <c r="D4" s="5"/>
      <c r="E4" s="5"/>
      <c r="F4" s="5"/>
    </row>
    <row r="5" spans="1:7" x14ac:dyDescent="0.3">
      <c r="A5" s="2" t="s">
        <v>51</v>
      </c>
      <c r="B5" s="6" t="s">
        <v>53</v>
      </c>
      <c r="C5" s="6"/>
      <c r="D5" s="6" t="s">
        <v>52</v>
      </c>
      <c r="E5" s="6"/>
      <c r="F5" s="6" t="s">
        <v>54</v>
      </c>
      <c r="G5" s="6"/>
    </row>
    <row r="6" spans="1:7" ht="15.6" x14ac:dyDescent="0.35">
      <c r="A6" s="3" t="s">
        <v>50</v>
      </c>
      <c r="B6" s="3" t="s">
        <v>56</v>
      </c>
      <c r="C6" s="3" t="s">
        <v>55</v>
      </c>
      <c r="D6" s="3" t="s">
        <v>56</v>
      </c>
      <c r="E6" s="3" t="s">
        <v>55</v>
      </c>
      <c r="F6" s="3" t="s">
        <v>57</v>
      </c>
      <c r="G6" s="3" t="s">
        <v>58</v>
      </c>
    </row>
    <row r="7" spans="1:7" x14ac:dyDescent="0.3">
      <c r="A7" cm="1">
        <f t="array" ref="A7:A22">output[cycle_number]</f>
        <v>0</v>
      </c>
      <c r="B7" cm="1">
        <f t="array" ref="B7:B22">output[reach_value_measured]</f>
        <v>18.137909737299999</v>
      </c>
      <c r="C7" cm="1">
        <f t="array" ref="C7:C22">output[start_velocity_value_measured]</f>
        <v>20.000000000099998</v>
      </c>
      <c r="D7" cm="1">
        <f t="array" ref="D7:D22">output[reach_value_model]</f>
        <v>18.340188761</v>
      </c>
      <c r="E7" cm="1">
        <f t="array" ref="E7:E22">output[start_velocity_value_model]</f>
        <v>20.000000000099998</v>
      </c>
      <c r="F7" s="1" cm="1">
        <f t="array" ref="F7:F22">output[error_rel_reach_value]</f>
        <v>1.1152278700000001E-2</v>
      </c>
      <c r="G7" s="1" cm="1">
        <f t="array" ref="G7:G22">output[error_start_velocity_value]</f>
        <v>0</v>
      </c>
    </row>
    <row r="8" spans="1:7" x14ac:dyDescent="0.3">
      <c r="A8">
        <v>1</v>
      </c>
      <c r="B8">
        <v>9.4406722697000003</v>
      </c>
      <c r="C8">
        <v>14.252776385100001</v>
      </c>
      <c r="D8">
        <v>9.4259669754999997</v>
      </c>
      <c r="E8">
        <v>14.3380817419</v>
      </c>
      <c r="F8" s="1">
        <v>1.5576533000000001E-3</v>
      </c>
      <c r="G8" s="1">
        <v>8.5305356799999996E-2</v>
      </c>
    </row>
    <row r="9" spans="1:7" x14ac:dyDescent="0.3">
      <c r="A9">
        <v>2</v>
      </c>
      <c r="B9">
        <v>4.9001985411</v>
      </c>
      <c r="C9">
        <v>10.2416846076</v>
      </c>
      <c r="D9">
        <v>4.8444895839999997</v>
      </c>
      <c r="E9">
        <v>10.279029401800001</v>
      </c>
      <c r="F9" s="1">
        <v>1.1368714300000001E-2</v>
      </c>
      <c r="G9" s="1">
        <v>3.7344794200000003E-2</v>
      </c>
    </row>
    <row r="10" spans="1:7" x14ac:dyDescent="0.3">
      <c r="A10">
        <v>3</v>
      </c>
      <c r="B10">
        <v>2.5376704991999999</v>
      </c>
      <c r="C10">
        <v>7.3464865734</v>
      </c>
      <c r="D10">
        <v>2.4898325434999999</v>
      </c>
      <c r="E10">
        <v>7.3690781894999997</v>
      </c>
      <c r="F10" s="1">
        <v>1.88511297E-2</v>
      </c>
      <c r="G10" s="1">
        <v>2.25916161E-2</v>
      </c>
    </row>
    <row r="11" spans="1:7" x14ac:dyDescent="0.3">
      <c r="A11">
        <v>4</v>
      </c>
      <c r="B11">
        <v>1.3170616606000001</v>
      </c>
      <c r="C11">
        <v>5.2700747077000001</v>
      </c>
      <c r="D11">
        <v>1.2796530960000001</v>
      </c>
      <c r="E11">
        <v>5.2829222722000004</v>
      </c>
      <c r="F11" s="1">
        <v>2.8403047300000001E-2</v>
      </c>
      <c r="G11" s="1">
        <v>1.28475645E-2</v>
      </c>
    </row>
    <row r="12" spans="1:7" x14ac:dyDescent="0.3">
      <c r="A12">
        <v>5</v>
      </c>
      <c r="B12">
        <v>0.71170528570000002</v>
      </c>
      <c r="C12">
        <v>3.8444988932999999</v>
      </c>
      <c r="D12">
        <v>0.65767958989999997</v>
      </c>
      <c r="E12">
        <v>3.7873485687000001</v>
      </c>
      <c r="F12" s="1">
        <v>7.5910207300000004E-2</v>
      </c>
      <c r="G12" s="1">
        <v>5.7150324600000003E-2</v>
      </c>
    </row>
    <row r="13" spans="1:7" x14ac:dyDescent="0.3">
      <c r="A13">
        <v>6</v>
      </c>
      <c r="B13">
        <v>0.38193049239999999</v>
      </c>
      <c r="C13">
        <v>2.7862283992000001</v>
      </c>
      <c r="D13">
        <v>0.33801539209999998</v>
      </c>
      <c r="E13">
        <v>2.7151656681</v>
      </c>
      <c r="F13" s="1">
        <v>0.1149819173</v>
      </c>
      <c r="G13" s="1">
        <v>7.1062731099999998E-2</v>
      </c>
    </row>
    <row r="14" spans="1:7" x14ac:dyDescent="0.3">
      <c r="A14">
        <v>7</v>
      </c>
      <c r="B14">
        <v>0.20237538990000001</v>
      </c>
      <c r="C14">
        <v>2.0035872473</v>
      </c>
      <c r="D14">
        <v>0.1737235077</v>
      </c>
      <c r="E14">
        <v>1.9465133645999999</v>
      </c>
      <c r="F14" s="1">
        <v>0.14157789749999999</v>
      </c>
      <c r="G14" s="1">
        <v>5.7073882700000002E-2</v>
      </c>
    </row>
    <row r="15" spans="1:7" x14ac:dyDescent="0.3">
      <c r="A15">
        <v>8</v>
      </c>
      <c r="B15">
        <v>0.1022950468</v>
      </c>
      <c r="C15">
        <v>1.4026735257</v>
      </c>
      <c r="D15">
        <v>8.9285452099999996E-2</v>
      </c>
      <c r="E15">
        <v>1.3954633865999999</v>
      </c>
      <c r="F15" s="1">
        <v>0.12717717140000001</v>
      </c>
      <c r="G15" s="1">
        <v>7.2101391000000004E-3</v>
      </c>
    </row>
    <row r="16" spans="1:7" x14ac:dyDescent="0.3">
      <c r="A16">
        <v>9</v>
      </c>
      <c r="B16">
        <v>5.7890761700000001E-2</v>
      </c>
      <c r="C16">
        <v>1.0314509224999999</v>
      </c>
      <c r="D16">
        <v>4.58883894E-2</v>
      </c>
      <c r="E16">
        <v>1.0004134052</v>
      </c>
      <c r="F16" s="1">
        <v>0.2073279388</v>
      </c>
      <c r="G16" s="1">
        <v>3.1037517300000001E-2</v>
      </c>
    </row>
    <row r="17" spans="1:20" x14ac:dyDescent="0.3">
      <c r="A17">
        <v>10</v>
      </c>
      <c r="B17">
        <v>3.1861568999999999E-2</v>
      </c>
      <c r="C17">
        <v>0.75014612550000004</v>
      </c>
      <c r="D17">
        <v>2.3584405199999998E-2</v>
      </c>
      <c r="E17">
        <v>0.71720045899999996</v>
      </c>
      <c r="F17" s="1">
        <v>0.2597851914</v>
      </c>
      <c r="G17" s="1">
        <v>3.2945666499999998E-2</v>
      </c>
    </row>
    <row r="18" spans="1:20" x14ac:dyDescent="0.3">
      <c r="A18">
        <v>11</v>
      </c>
      <c r="B18">
        <v>1.7892311399999999E-2</v>
      </c>
      <c r="C18">
        <v>0.53964048220000005</v>
      </c>
      <c r="D18">
        <v>1.21212397E-2</v>
      </c>
      <c r="E18">
        <v>0.51416394030000001</v>
      </c>
      <c r="F18" s="1">
        <v>0.32254478310000001</v>
      </c>
      <c r="G18" s="1">
        <v>2.54765419E-2</v>
      </c>
    </row>
    <row r="19" spans="1:20" x14ac:dyDescent="0.3">
      <c r="A19">
        <v>12</v>
      </c>
      <c r="B19">
        <v>6.3469223999999998E-3</v>
      </c>
      <c r="C19">
        <v>0.2813047971</v>
      </c>
      <c r="D19">
        <v>6.2297289999999998E-3</v>
      </c>
      <c r="E19">
        <v>0.3686062303</v>
      </c>
      <c r="F19" s="1">
        <v>1.8464602600000001E-2</v>
      </c>
      <c r="G19" s="1">
        <v>8.73014332E-2</v>
      </c>
    </row>
    <row r="20" spans="1:20" x14ac:dyDescent="0.3">
      <c r="A20">
        <v>13</v>
      </c>
      <c r="B20">
        <v>6.3469223999999998E-3</v>
      </c>
      <c r="C20">
        <v>0.2813047971</v>
      </c>
      <c r="D20">
        <v>3.2017783999999999E-3</v>
      </c>
      <c r="E20">
        <v>0.2642553131</v>
      </c>
      <c r="F20" s="1">
        <v>0.49553843609999998</v>
      </c>
      <c r="G20" s="1">
        <v>1.7049484E-2</v>
      </c>
    </row>
    <row r="21" spans="1:20" x14ac:dyDescent="0.3">
      <c r="A21">
        <v>14</v>
      </c>
      <c r="B21">
        <v>3.1256088E-3</v>
      </c>
      <c r="C21">
        <v>0.1875365313</v>
      </c>
      <c r="D21">
        <v>1.6455586999999999E-3</v>
      </c>
      <c r="E21">
        <v>0.18944571399999999</v>
      </c>
      <c r="F21" s="1">
        <v>0.473523782</v>
      </c>
      <c r="G21" s="1">
        <v>1.9091827E-3</v>
      </c>
    </row>
    <row r="22" spans="1:20" x14ac:dyDescent="0.3">
      <c r="A22">
        <v>15</v>
      </c>
      <c r="B22">
        <v>3.0299042E-3</v>
      </c>
      <c r="C22">
        <v>0.18179425339999999</v>
      </c>
      <c r="D22">
        <v>8.4573730000000005E-4</v>
      </c>
      <c r="E22">
        <v>0.13581440659999999</v>
      </c>
      <c r="F22" s="1">
        <v>0.72086995359999995</v>
      </c>
      <c r="G22" s="1">
        <v>4.5979846800000002E-2</v>
      </c>
    </row>
    <row r="23" spans="1:20" x14ac:dyDescent="0.3">
      <c r="F23" s="1"/>
      <c r="G23" s="1"/>
    </row>
    <row r="24" spans="1:20" x14ac:dyDescent="0.3">
      <c r="F24" s="1"/>
      <c r="G24" s="1"/>
    </row>
    <row r="25" spans="1:20" x14ac:dyDescent="0.3">
      <c r="F25" s="1"/>
      <c r="G25" s="1"/>
      <c r="T25" s="4"/>
    </row>
    <row r="26" spans="1:20" x14ac:dyDescent="0.3">
      <c r="F26" s="1"/>
      <c r="G26" s="1"/>
    </row>
    <row r="27" spans="1:20" x14ac:dyDescent="0.3">
      <c r="F27" s="1"/>
      <c r="G27" s="1"/>
    </row>
    <row r="28" spans="1:20" x14ac:dyDescent="0.3">
      <c r="F28" s="1"/>
      <c r="G28" s="1"/>
    </row>
    <row r="29" spans="1:20" x14ac:dyDescent="0.3">
      <c r="F29" s="1"/>
      <c r="G29" s="1"/>
    </row>
    <row r="30" spans="1:20" x14ac:dyDescent="0.3">
      <c r="F30" s="1"/>
      <c r="G30" s="1"/>
    </row>
    <row r="31" spans="1:20" x14ac:dyDescent="0.3">
      <c r="F31" s="1"/>
      <c r="G31" s="1"/>
    </row>
    <row r="32" spans="1:20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  <c r="G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  <c r="G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  <c r="G61" s="1"/>
    </row>
    <row r="62" spans="6:7" x14ac:dyDescent="0.3">
      <c r="F62" s="1"/>
      <c r="G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  <row r="69" spans="6:7" x14ac:dyDescent="0.3">
      <c r="F69" s="1"/>
      <c r="G69" s="1"/>
    </row>
    <row r="70" spans="6:7" x14ac:dyDescent="0.3">
      <c r="F70" s="1"/>
      <c r="G70" s="1"/>
    </row>
    <row r="71" spans="6:7" x14ac:dyDescent="0.3">
      <c r="F71" s="1"/>
      <c r="G71" s="1"/>
    </row>
    <row r="72" spans="6:7" x14ac:dyDescent="0.3">
      <c r="F72" s="1"/>
      <c r="G72" s="1"/>
    </row>
    <row r="73" spans="6:7" x14ac:dyDescent="0.3">
      <c r="F73" s="1"/>
      <c r="G73" s="1"/>
    </row>
    <row r="74" spans="6:7" x14ac:dyDescent="0.3">
      <c r="F74" s="1"/>
      <c r="G74" s="1"/>
    </row>
    <row r="75" spans="6:7" x14ac:dyDescent="0.3">
      <c r="F75" s="1"/>
      <c r="G75" s="1"/>
    </row>
    <row r="76" spans="6:7" x14ac:dyDescent="0.3">
      <c r="F76" s="1"/>
      <c r="G76" s="1"/>
    </row>
    <row r="77" spans="6:7" x14ac:dyDescent="0.3">
      <c r="F77" s="1"/>
      <c r="G77" s="1"/>
    </row>
    <row r="78" spans="6:7" x14ac:dyDescent="0.3">
      <c r="F78" s="1"/>
      <c r="G78" s="1"/>
    </row>
    <row r="79" spans="6:7" x14ac:dyDescent="0.3">
      <c r="F79" s="1"/>
      <c r="G79" s="1"/>
    </row>
    <row r="80" spans="6:7" x14ac:dyDescent="0.3">
      <c r="F80" s="1"/>
      <c r="G80" s="1"/>
    </row>
    <row r="81" spans="6:7" x14ac:dyDescent="0.3">
      <c r="F81" s="1"/>
      <c r="G81" s="1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1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1"/>
    </row>
    <row r="91" spans="6:7" x14ac:dyDescent="0.3">
      <c r="F91" s="1"/>
      <c r="G91" s="1"/>
    </row>
    <row r="92" spans="6:7" x14ac:dyDescent="0.3">
      <c r="F92" s="1"/>
      <c r="G92" s="1"/>
    </row>
    <row r="93" spans="6:7" x14ac:dyDescent="0.3">
      <c r="F93" s="1"/>
      <c r="G93" s="1"/>
    </row>
    <row r="94" spans="6:7" x14ac:dyDescent="0.3">
      <c r="F94" s="1"/>
      <c r="G94" s="1"/>
    </row>
    <row r="95" spans="6:7" x14ac:dyDescent="0.3">
      <c r="F95" s="1"/>
      <c r="G95" s="1"/>
    </row>
    <row r="96" spans="6:7" x14ac:dyDescent="0.3">
      <c r="F96" s="1"/>
      <c r="G96" s="1"/>
    </row>
    <row r="97" spans="6:7" x14ac:dyDescent="0.3">
      <c r="F97" s="1"/>
      <c r="G97" s="1"/>
    </row>
    <row r="98" spans="6:7" x14ac:dyDescent="0.3">
      <c r="F98" s="1"/>
      <c r="G98" s="1"/>
    </row>
    <row r="99" spans="6:7" x14ac:dyDescent="0.3">
      <c r="F99" s="1"/>
      <c r="G99" s="1"/>
    </row>
    <row r="100" spans="6:7" x14ac:dyDescent="0.3">
      <c r="F100" s="1"/>
      <c r="G100" s="1"/>
    </row>
    <row r="101" spans="6:7" x14ac:dyDescent="0.3">
      <c r="F101" s="1"/>
      <c r="G101" s="1"/>
    </row>
    <row r="102" spans="6:7" x14ac:dyDescent="0.3">
      <c r="F102" s="1"/>
      <c r="G102" s="1"/>
    </row>
    <row r="103" spans="6:7" x14ac:dyDescent="0.3">
      <c r="F103" s="1"/>
      <c r="G103" s="1"/>
    </row>
    <row r="104" spans="6:7" x14ac:dyDescent="0.3">
      <c r="F104" s="1"/>
      <c r="G104" s="1"/>
    </row>
    <row r="105" spans="6:7" x14ac:dyDescent="0.3">
      <c r="F105" s="1"/>
      <c r="G105" s="1"/>
    </row>
    <row r="106" spans="6:7" x14ac:dyDescent="0.3">
      <c r="F106" s="1"/>
      <c r="G106" s="1"/>
    </row>
    <row r="107" spans="6:7" x14ac:dyDescent="0.3">
      <c r="F107" s="1"/>
      <c r="G107" s="1"/>
    </row>
    <row r="108" spans="6:7" x14ac:dyDescent="0.3">
      <c r="F108" s="1"/>
      <c r="G108" s="1"/>
    </row>
    <row r="109" spans="6:7" x14ac:dyDescent="0.3">
      <c r="F109" s="1"/>
      <c r="G109" s="1"/>
    </row>
    <row r="110" spans="6:7" x14ac:dyDescent="0.3">
      <c r="F110" s="1"/>
      <c r="G110" s="1"/>
    </row>
    <row r="111" spans="6:7" x14ac:dyDescent="0.3">
      <c r="F111" s="1"/>
      <c r="G111" s="1"/>
    </row>
    <row r="112" spans="6:7" x14ac:dyDescent="0.3">
      <c r="F112" s="1"/>
      <c r="G112" s="1"/>
    </row>
    <row r="113" spans="6:7" x14ac:dyDescent="0.3">
      <c r="F113" s="1"/>
      <c r="G113" s="1"/>
    </row>
    <row r="114" spans="6:7" x14ac:dyDescent="0.3">
      <c r="F114" s="1"/>
      <c r="G114" s="1"/>
    </row>
    <row r="115" spans="6:7" x14ac:dyDescent="0.3">
      <c r="F115" s="1"/>
      <c r="G115" s="1"/>
    </row>
  </sheetData>
  <mergeCells count="4">
    <mergeCell ref="B5:C5"/>
    <mergeCell ref="D5:E5"/>
    <mergeCell ref="F5:G5"/>
    <mergeCell ref="A1: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83A7-9404-4FF7-8C77-D299D76DD53D}">
  <dimension ref="A1:G675"/>
  <sheetViews>
    <sheetView topLeftCell="A6" workbookViewId="0">
      <selection activeCell="F27" sqref="F27"/>
    </sheetView>
  </sheetViews>
  <sheetFormatPr defaultRowHeight="14.4" x14ac:dyDescent="0.3"/>
  <cols>
    <col min="2" max="5" width="8.44140625" bestFit="1" customWidth="1"/>
  </cols>
  <sheetData>
    <row r="1" spans="1:7" x14ac:dyDescent="0.3">
      <c r="A1" s="5"/>
      <c r="B1" s="5"/>
      <c r="C1" s="5"/>
      <c r="D1" s="5"/>
      <c r="E1" s="5"/>
    </row>
    <row r="2" spans="1:7" x14ac:dyDescent="0.3">
      <c r="A2" s="5"/>
      <c r="B2" s="5"/>
      <c r="C2" s="5"/>
      <c r="D2" s="5"/>
      <c r="E2" s="5"/>
    </row>
    <row r="3" spans="1:7" x14ac:dyDescent="0.3">
      <c r="A3" s="5"/>
      <c r="B3" s="5"/>
      <c r="C3" s="5"/>
      <c r="D3" s="5"/>
      <c r="E3" s="5"/>
    </row>
    <row r="4" spans="1:7" x14ac:dyDescent="0.3">
      <c r="A4" s="5"/>
      <c r="B4" s="5"/>
      <c r="C4" s="5"/>
      <c r="D4" s="5"/>
      <c r="E4" s="5"/>
    </row>
    <row r="5" spans="1:7" x14ac:dyDescent="0.3">
      <c r="A5" s="5"/>
      <c r="B5" s="5"/>
      <c r="C5" s="5"/>
      <c r="D5" s="5"/>
      <c r="E5" s="5"/>
    </row>
    <row r="6" spans="1:7" x14ac:dyDescent="0.3">
      <c r="A6" s="2" t="s">
        <v>51</v>
      </c>
      <c r="B6" s="6" t="s">
        <v>53</v>
      </c>
      <c r="C6" s="6"/>
      <c r="D6" s="6" t="s">
        <v>52</v>
      </c>
      <c r="E6" s="6"/>
      <c r="F6" s="6" t="s">
        <v>54</v>
      </c>
      <c r="G6" s="6"/>
    </row>
    <row r="7" spans="1:7" ht="15.6" x14ac:dyDescent="0.35">
      <c r="A7" s="3" t="s">
        <v>50</v>
      </c>
      <c r="B7" s="3" t="s">
        <v>59</v>
      </c>
      <c r="C7" s="3" t="s">
        <v>55</v>
      </c>
      <c r="D7" s="3" t="s">
        <v>59</v>
      </c>
      <c r="E7" s="3" t="s">
        <v>55</v>
      </c>
      <c r="F7" s="3" t="s">
        <v>60</v>
      </c>
      <c r="G7" s="3" t="s">
        <v>58</v>
      </c>
    </row>
    <row r="8" spans="1:7" x14ac:dyDescent="0.3">
      <c r="A8" cm="1">
        <f t="array" ref="A8:A23">output[cycle_number]</f>
        <v>0</v>
      </c>
      <c r="B8" cm="1">
        <f t="array" ref="B8:B23">output[end_velocity_value_measured]</f>
        <v>14.252776385100001</v>
      </c>
      <c r="C8" cm="1">
        <f t="array" ref="C8:C23">output[start_velocity_value_measured]</f>
        <v>20.000000000099998</v>
      </c>
      <c r="D8" cm="1">
        <f t="array" ref="D8:D23">output[end_velocity_value_model]</f>
        <v>14.3380817419</v>
      </c>
      <c r="E8" cm="1">
        <f t="array" ref="E8:E23">output[start_velocity_value_model]</f>
        <v>20.000000000099998</v>
      </c>
      <c r="F8" s="1" cm="1">
        <f t="array" ref="F8:F23">output[error_rel_end_velocity_value]</f>
        <v>5.9851747E-3</v>
      </c>
      <c r="G8" s="1" cm="1">
        <f t="array" ref="G8:G23">output[error_rel_start_velocity_value]</f>
        <v>0</v>
      </c>
    </row>
    <row r="9" spans="1:7" x14ac:dyDescent="0.3">
      <c r="A9">
        <v>1</v>
      </c>
      <c r="B9">
        <v>10.2416846076</v>
      </c>
      <c r="C9">
        <v>14.252776385100001</v>
      </c>
      <c r="D9">
        <v>10.279029401800001</v>
      </c>
      <c r="E9">
        <v>14.3380817419</v>
      </c>
      <c r="F9" s="1">
        <v>3.6463527000000001E-3</v>
      </c>
      <c r="G9" s="1">
        <v>5.9851747E-3</v>
      </c>
    </row>
    <row r="10" spans="1:7" x14ac:dyDescent="0.3">
      <c r="A10">
        <v>2</v>
      </c>
      <c r="B10">
        <v>7.3464865734</v>
      </c>
      <c r="C10">
        <v>10.2416846076</v>
      </c>
      <c r="D10">
        <v>7.3690781894999997</v>
      </c>
      <c r="E10">
        <v>10.279029401800001</v>
      </c>
      <c r="F10" s="1">
        <v>3.0751592000000001E-3</v>
      </c>
      <c r="G10" s="1">
        <v>3.6463527000000001E-3</v>
      </c>
    </row>
    <row r="11" spans="1:7" x14ac:dyDescent="0.3">
      <c r="A11">
        <v>3</v>
      </c>
      <c r="B11">
        <v>5.2700747077000001</v>
      </c>
      <c r="C11">
        <v>7.3464865734</v>
      </c>
      <c r="D11">
        <v>5.2829222722000004</v>
      </c>
      <c r="E11">
        <v>7.3690781894999997</v>
      </c>
      <c r="F11" s="1">
        <v>2.4378335000000001E-3</v>
      </c>
      <c r="G11" s="1">
        <v>3.0751592000000001E-3</v>
      </c>
    </row>
    <row r="12" spans="1:7" x14ac:dyDescent="0.3">
      <c r="A12">
        <v>4</v>
      </c>
      <c r="B12">
        <v>3.8444988932999999</v>
      </c>
      <c r="C12">
        <v>5.2700747077000001</v>
      </c>
      <c r="D12">
        <v>3.7873485687000001</v>
      </c>
      <c r="E12">
        <v>5.2829222722000004</v>
      </c>
      <c r="F12" s="1">
        <v>1.4865480800000001E-2</v>
      </c>
      <c r="G12" s="1">
        <v>2.4378335000000001E-3</v>
      </c>
    </row>
    <row r="13" spans="1:7" x14ac:dyDescent="0.3">
      <c r="A13">
        <v>5</v>
      </c>
      <c r="B13">
        <v>2.7862283992000001</v>
      </c>
      <c r="C13">
        <v>3.8444988932999999</v>
      </c>
      <c r="D13">
        <v>2.7151656681</v>
      </c>
      <c r="E13">
        <v>3.7873485687000001</v>
      </c>
      <c r="F13" s="1">
        <v>2.5504991300000002E-2</v>
      </c>
      <c r="G13" s="1">
        <v>1.4865480800000001E-2</v>
      </c>
    </row>
    <row r="14" spans="1:7" x14ac:dyDescent="0.3">
      <c r="A14">
        <v>6</v>
      </c>
      <c r="B14">
        <v>2.0035872473</v>
      </c>
      <c r="C14">
        <v>2.7862283992000001</v>
      </c>
      <c r="D14">
        <v>1.9465133645999999</v>
      </c>
      <c r="E14">
        <v>2.7151656681</v>
      </c>
      <c r="F14" s="1">
        <v>2.8485848500000001E-2</v>
      </c>
      <c r="G14" s="1">
        <v>2.5504991300000002E-2</v>
      </c>
    </row>
    <row r="15" spans="1:7" x14ac:dyDescent="0.3">
      <c r="A15">
        <v>7</v>
      </c>
      <c r="B15">
        <v>1.4026735257</v>
      </c>
      <c r="C15">
        <v>2.0035872473</v>
      </c>
      <c r="D15">
        <v>1.3954633865999999</v>
      </c>
      <c r="E15">
        <v>1.9465133645999999</v>
      </c>
      <c r="F15" s="1">
        <v>5.1402831999999999E-3</v>
      </c>
      <c r="G15" s="1">
        <v>2.8485848500000001E-2</v>
      </c>
    </row>
    <row r="16" spans="1:7" x14ac:dyDescent="0.3">
      <c r="A16">
        <v>8</v>
      </c>
      <c r="B16">
        <v>1.0314509224999999</v>
      </c>
      <c r="C16">
        <v>1.4026735257</v>
      </c>
      <c r="D16">
        <v>1.0004134052</v>
      </c>
      <c r="E16">
        <v>1.3954633865999999</v>
      </c>
      <c r="F16" s="1">
        <v>3.00911237E-2</v>
      </c>
      <c r="G16" s="1">
        <v>5.1402831999999999E-3</v>
      </c>
    </row>
    <row r="17" spans="1:7" x14ac:dyDescent="0.3">
      <c r="A17">
        <v>9</v>
      </c>
      <c r="B17">
        <v>0.75014612550000004</v>
      </c>
      <c r="C17">
        <v>1.0314509224999999</v>
      </c>
      <c r="D17">
        <v>0.71720045899999996</v>
      </c>
      <c r="E17">
        <v>1.0004134052</v>
      </c>
      <c r="F17" s="1">
        <v>4.3918998399999999E-2</v>
      </c>
      <c r="G17" s="1">
        <v>3.00911237E-2</v>
      </c>
    </row>
    <row r="18" spans="1:7" x14ac:dyDescent="0.3">
      <c r="A18">
        <v>10</v>
      </c>
      <c r="B18">
        <v>0.53964048220000005</v>
      </c>
      <c r="C18">
        <v>0.75014612550000004</v>
      </c>
      <c r="D18">
        <v>0.51416394030000001</v>
      </c>
      <c r="E18">
        <v>0.71720045899999996</v>
      </c>
      <c r="F18" s="1">
        <v>4.7210212600000002E-2</v>
      </c>
      <c r="G18" s="1">
        <v>4.3918998399999999E-2</v>
      </c>
    </row>
    <row r="19" spans="1:7" x14ac:dyDescent="0.3">
      <c r="A19">
        <v>11</v>
      </c>
      <c r="B19">
        <v>0.2813047971</v>
      </c>
      <c r="C19">
        <v>0.53964048220000005</v>
      </c>
      <c r="D19">
        <v>0.3686062303</v>
      </c>
      <c r="E19">
        <v>0.51416394030000001</v>
      </c>
      <c r="F19" s="1">
        <v>0.31034463010000002</v>
      </c>
      <c r="G19" s="1">
        <v>4.7210212600000002E-2</v>
      </c>
    </row>
    <row r="20" spans="1:7" x14ac:dyDescent="0.3">
      <c r="A20">
        <v>12</v>
      </c>
      <c r="B20">
        <v>0.2813047971</v>
      </c>
      <c r="C20">
        <v>0.2813047971</v>
      </c>
      <c r="D20">
        <v>0.2642553131</v>
      </c>
      <c r="E20">
        <v>0.3686062303</v>
      </c>
      <c r="F20" s="1">
        <v>6.0608578900000001E-2</v>
      </c>
      <c r="G20" s="1">
        <v>0.31034463010000002</v>
      </c>
    </row>
    <row r="21" spans="1:7" x14ac:dyDescent="0.3">
      <c r="A21">
        <v>13</v>
      </c>
      <c r="B21">
        <v>0.1875365313</v>
      </c>
      <c r="C21">
        <v>0.2813047971</v>
      </c>
      <c r="D21">
        <v>0.18944571399999999</v>
      </c>
      <c r="E21">
        <v>0.2642553131</v>
      </c>
      <c r="F21" s="1">
        <v>1.01803243E-2</v>
      </c>
      <c r="G21" s="1">
        <v>6.0608578900000001E-2</v>
      </c>
    </row>
    <row r="22" spans="1:7" x14ac:dyDescent="0.3">
      <c r="A22">
        <v>14</v>
      </c>
      <c r="B22">
        <v>0.18179425339999999</v>
      </c>
      <c r="C22">
        <v>0.1875365313</v>
      </c>
      <c r="D22">
        <v>0.13581440659999999</v>
      </c>
      <c r="E22">
        <v>0.18944571399999999</v>
      </c>
      <c r="F22" s="1">
        <v>0.25292244359999999</v>
      </c>
      <c r="G22" s="1">
        <v>1.01803243E-2</v>
      </c>
    </row>
    <row r="23" spans="1:7" x14ac:dyDescent="0.3">
      <c r="A23">
        <v>15</v>
      </c>
      <c r="B23">
        <v>9.3768265700000006E-2</v>
      </c>
      <c r="C23">
        <v>0.18179425339999999</v>
      </c>
      <c r="D23">
        <v>9.7365903099999998E-2</v>
      </c>
      <c r="E23">
        <v>0.13581440659999999</v>
      </c>
      <c r="F23" s="1">
        <v>3.8367323699999997E-2</v>
      </c>
      <c r="G23" s="1">
        <v>0.25292244359999999</v>
      </c>
    </row>
    <row r="24" spans="1:7" x14ac:dyDescent="0.3">
      <c r="F24" s="1"/>
      <c r="G24" s="1"/>
    </row>
    <row r="25" spans="1:7" x14ac:dyDescent="0.3">
      <c r="F25" s="1"/>
      <c r="G25" s="1"/>
    </row>
    <row r="26" spans="1:7" x14ac:dyDescent="0.3">
      <c r="F26" s="1"/>
      <c r="G26" s="1"/>
    </row>
    <row r="27" spans="1:7" x14ac:dyDescent="0.3">
      <c r="F27" s="1"/>
      <c r="G27" s="1"/>
    </row>
    <row r="28" spans="1:7" x14ac:dyDescent="0.3">
      <c r="F28" s="1"/>
      <c r="G28" s="1"/>
    </row>
    <row r="29" spans="1:7" x14ac:dyDescent="0.3">
      <c r="F29" s="1"/>
      <c r="G29" s="1"/>
    </row>
    <row r="30" spans="1:7" x14ac:dyDescent="0.3">
      <c r="F30" s="1"/>
      <c r="G30" s="1"/>
    </row>
    <row r="31" spans="1:7" x14ac:dyDescent="0.3">
      <c r="F31" s="1"/>
      <c r="G31" s="1"/>
    </row>
    <row r="32" spans="1:7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  <c r="G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  <c r="G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  <c r="G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  <c r="G61" s="1"/>
    </row>
    <row r="62" spans="6:7" x14ac:dyDescent="0.3">
      <c r="F62" s="1"/>
      <c r="G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  <c r="G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  <row r="69" spans="6:7" x14ac:dyDescent="0.3">
      <c r="F69" s="1"/>
      <c r="G69" s="1"/>
    </row>
    <row r="70" spans="6:7" x14ac:dyDescent="0.3">
      <c r="F70" s="1"/>
      <c r="G70" s="1"/>
    </row>
    <row r="71" spans="6:7" x14ac:dyDescent="0.3">
      <c r="F71" s="1"/>
      <c r="G71" s="1"/>
    </row>
    <row r="72" spans="6:7" x14ac:dyDescent="0.3">
      <c r="F72" s="1"/>
      <c r="G72" s="1"/>
    </row>
    <row r="73" spans="6:7" x14ac:dyDescent="0.3">
      <c r="F73" s="1"/>
      <c r="G73" s="1"/>
    </row>
    <row r="74" spans="6:7" x14ac:dyDescent="0.3">
      <c r="F74" s="1"/>
      <c r="G74" s="1"/>
    </row>
    <row r="75" spans="6:7" x14ac:dyDescent="0.3">
      <c r="F75" s="1"/>
      <c r="G75" s="1"/>
    </row>
    <row r="76" spans="6:7" x14ac:dyDescent="0.3">
      <c r="F76" s="1"/>
      <c r="G76" s="1"/>
    </row>
    <row r="77" spans="6:7" x14ac:dyDescent="0.3">
      <c r="F77" s="1"/>
      <c r="G77" s="1"/>
    </row>
    <row r="78" spans="6:7" x14ac:dyDescent="0.3">
      <c r="F78" s="1"/>
      <c r="G78" s="1"/>
    </row>
    <row r="79" spans="6:7" x14ac:dyDescent="0.3">
      <c r="F79" s="1"/>
      <c r="G79" s="1"/>
    </row>
    <row r="80" spans="6:7" x14ac:dyDescent="0.3">
      <c r="F80" s="1"/>
      <c r="G80" s="1"/>
    </row>
    <row r="81" spans="6:7" x14ac:dyDescent="0.3">
      <c r="F81" s="1"/>
      <c r="G81" s="1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1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1"/>
    </row>
    <row r="91" spans="6:7" x14ac:dyDescent="0.3">
      <c r="F91" s="1"/>
      <c r="G91" s="1"/>
    </row>
    <row r="92" spans="6:7" x14ac:dyDescent="0.3">
      <c r="F92" s="1"/>
      <c r="G92" s="1"/>
    </row>
    <row r="93" spans="6:7" x14ac:dyDescent="0.3">
      <c r="F93" s="1"/>
      <c r="G93" s="1"/>
    </row>
    <row r="94" spans="6:7" x14ac:dyDescent="0.3">
      <c r="F94" s="1"/>
      <c r="G94" s="1"/>
    </row>
    <row r="95" spans="6:7" x14ac:dyDescent="0.3">
      <c r="F95" s="1"/>
      <c r="G95" s="1"/>
    </row>
    <row r="96" spans="6:7" x14ac:dyDescent="0.3">
      <c r="F96" s="1"/>
      <c r="G96" s="1"/>
    </row>
    <row r="97" spans="6:7" x14ac:dyDescent="0.3">
      <c r="F97" s="1"/>
      <c r="G97" s="1"/>
    </row>
    <row r="98" spans="6:7" x14ac:dyDescent="0.3">
      <c r="F98" s="1"/>
      <c r="G98" s="1"/>
    </row>
    <row r="99" spans="6:7" x14ac:dyDescent="0.3">
      <c r="F99" s="1"/>
      <c r="G99" s="1"/>
    </row>
    <row r="100" spans="6:7" x14ac:dyDescent="0.3">
      <c r="F100" s="1"/>
      <c r="G100" s="1"/>
    </row>
    <row r="101" spans="6:7" x14ac:dyDescent="0.3">
      <c r="F101" s="1"/>
      <c r="G101" s="1"/>
    </row>
    <row r="102" spans="6:7" x14ac:dyDescent="0.3">
      <c r="F102" s="1"/>
      <c r="G102" s="1"/>
    </row>
    <row r="103" spans="6:7" x14ac:dyDescent="0.3">
      <c r="F103" s="1"/>
      <c r="G103" s="1"/>
    </row>
    <row r="104" spans="6:7" x14ac:dyDescent="0.3">
      <c r="F104" s="1"/>
      <c r="G104" s="1"/>
    </row>
    <row r="105" spans="6:7" x14ac:dyDescent="0.3">
      <c r="F105" s="1"/>
      <c r="G105" s="1"/>
    </row>
    <row r="106" spans="6:7" x14ac:dyDescent="0.3">
      <c r="F106" s="1"/>
      <c r="G106" s="1"/>
    </row>
    <row r="107" spans="6:7" x14ac:dyDescent="0.3">
      <c r="F107" s="1"/>
      <c r="G107" s="1"/>
    </row>
    <row r="108" spans="6:7" x14ac:dyDescent="0.3">
      <c r="F108" s="1"/>
      <c r="G108" s="1"/>
    </row>
    <row r="109" spans="6:7" x14ac:dyDescent="0.3">
      <c r="F109" s="1"/>
      <c r="G109" s="1"/>
    </row>
    <row r="110" spans="6:7" x14ac:dyDescent="0.3">
      <c r="F110" s="1"/>
      <c r="G110" s="1"/>
    </row>
    <row r="111" spans="6:7" x14ac:dyDescent="0.3">
      <c r="F111" s="1"/>
      <c r="G111" s="1"/>
    </row>
    <row r="112" spans="6:7" x14ac:dyDescent="0.3">
      <c r="F112" s="1"/>
      <c r="G112" s="1"/>
    </row>
    <row r="113" spans="6:7" x14ac:dyDescent="0.3">
      <c r="F113" s="1"/>
      <c r="G113" s="1"/>
    </row>
    <row r="114" spans="6:7" x14ac:dyDescent="0.3">
      <c r="F114" s="1"/>
      <c r="G114" s="1"/>
    </row>
    <row r="115" spans="6:7" x14ac:dyDescent="0.3">
      <c r="F115" s="1"/>
      <c r="G115" s="1"/>
    </row>
    <row r="116" spans="6:7" x14ac:dyDescent="0.3">
      <c r="F116" s="1"/>
      <c r="G116" s="1"/>
    </row>
    <row r="117" spans="6:7" x14ac:dyDescent="0.3">
      <c r="F117" s="1"/>
      <c r="G117" s="1"/>
    </row>
    <row r="118" spans="6:7" x14ac:dyDescent="0.3">
      <c r="F118" s="1"/>
      <c r="G118" s="1"/>
    </row>
    <row r="119" spans="6:7" x14ac:dyDescent="0.3">
      <c r="F119" s="1"/>
      <c r="G119" s="1"/>
    </row>
    <row r="120" spans="6:7" x14ac:dyDescent="0.3">
      <c r="F120" s="1"/>
      <c r="G120" s="1"/>
    </row>
    <row r="121" spans="6:7" x14ac:dyDescent="0.3">
      <c r="F121" s="1"/>
      <c r="G121" s="1"/>
    </row>
    <row r="122" spans="6:7" x14ac:dyDescent="0.3">
      <c r="F122" s="1"/>
      <c r="G122" s="1"/>
    </row>
    <row r="123" spans="6:7" x14ac:dyDescent="0.3">
      <c r="F123" s="1"/>
      <c r="G123" s="1"/>
    </row>
    <row r="124" spans="6:7" x14ac:dyDescent="0.3">
      <c r="F124" s="1"/>
      <c r="G124" s="1"/>
    </row>
    <row r="125" spans="6:7" x14ac:dyDescent="0.3">
      <c r="F125" s="1"/>
      <c r="G125" s="1"/>
    </row>
    <row r="126" spans="6:7" x14ac:dyDescent="0.3">
      <c r="F126" s="1"/>
      <c r="G126" s="1"/>
    </row>
    <row r="127" spans="6:7" x14ac:dyDescent="0.3">
      <c r="F127" s="1"/>
      <c r="G127" s="1"/>
    </row>
    <row r="128" spans="6:7" x14ac:dyDescent="0.3">
      <c r="F128" s="1"/>
      <c r="G128" s="1"/>
    </row>
    <row r="129" spans="6:7" x14ac:dyDescent="0.3">
      <c r="F129" s="1"/>
      <c r="G129" s="1"/>
    </row>
    <row r="130" spans="6:7" x14ac:dyDescent="0.3">
      <c r="F130" s="1"/>
      <c r="G130" s="1"/>
    </row>
    <row r="131" spans="6:7" x14ac:dyDescent="0.3">
      <c r="F131" s="1"/>
      <c r="G131" s="1"/>
    </row>
    <row r="132" spans="6:7" x14ac:dyDescent="0.3">
      <c r="F132" s="1"/>
      <c r="G132" s="1"/>
    </row>
    <row r="133" spans="6:7" x14ac:dyDescent="0.3">
      <c r="F133" s="1"/>
      <c r="G133" s="1"/>
    </row>
    <row r="134" spans="6:7" x14ac:dyDescent="0.3">
      <c r="F134" s="1"/>
      <c r="G134" s="1"/>
    </row>
    <row r="135" spans="6:7" x14ac:dyDescent="0.3">
      <c r="F135" s="1"/>
      <c r="G135" s="1"/>
    </row>
    <row r="136" spans="6:7" x14ac:dyDescent="0.3">
      <c r="F136" s="1"/>
      <c r="G136" s="1"/>
    </row>
    <row r="137" spans="6:7" x14ac:dyDescent="0.3">
      <c r="F137" s="1"/>
      <c r="G137" s="1"/>
    </row>
    <row r="138" spans="6:7" x14ac:dyDescent="0.3">
      <c r="F138" s="1"/>
      <c r="G138" s="1"/>
    </row>
    <row r="139" spans="6:7" x14ac:dyDescent="0.3">
      <c r="F139" s="1"/>
      <c r="G139" s="1"/>
    </row>
    <row r="140" spans="6:7" x14ac:dyDescent="0.3">
      <c r="F140" s="1"/>
      <c r="G140" s="1"/>
    </row>
    <row r="141" spans="6:7" x14ac:dyDescent="0.3">
      <c r="F141" s="1"/>
      <c r="G141" s="1"/>
    </row>
    <row r="142" spans="6:7" x14ac:dyDescent="0.3">
      <c r="F142" s="1"/>
      <c r="G142" s="1"/>
    </row>
    <row r="143" spans="6:7" x14ac:dyDescent="0.3">
      <c r="F143" s="1"/>
      <c r="G143" s="1"/>
    </row>
    <row r="144" spans="6:7" x14ac:dyDescent="0.3">
      <c r="F144" s="1"/>
      <c r="G144" s="1"/>
    </row>
    <row r="145" spans="6:7" x14ac:dyDescent="0.3">
      <c r="F145" s="1"/>
      <c r="G145" s="1"/>
    </row>
    <row r="146" spans="6:7" x14ac:dyDescent="0.3">
      <c r="F146" s="1"/>
      <c r="G146" s="1"/>
    </row>
    <row r="147" spans="6:7" x14ac:dyDescent="0.3">
      <c r="F147" s="1"/>
      <c r="G147" s="1"/>
    </row>
    <row r="148" spans="6:7" x14ac:dyDescent="0.3">
      <c r="F148" s="1"/>
      <c r="G148" s="1"/>
    </row>
    <row r="149" spans="6:7" x14ac:dyDescent="0.3">
      <c r="F149" s="1"/>
      <c r="G149" s="1"/>
    </row>
    <row r="150" spans="6:7" x14ac:dyDescent="0.3">
      <c r="F150" s="1"/>
      <c r="G150" s="1"/>
    </row>
    <row r="151" spans="6:7" x14ac:dyDescent="0.3">
      <c r="F151" s="1"/>
      <c r="G151" s="1"/>
    </row>
    <row r="152" spans="6:7" x14ac:dyDescent="0.3">
      <c r="F152" s="1"/>
      <c r="G152" s="1"/>
    </row>
    <row r="153" spans="6:7" x14ac:dyDescent="0.3">
      <c r="F153" s="1"/>
      <c r="G153" s="1"/>
    </row>
    <row r="154" spans="6:7" x14ac:dyDescent="0.3">
      <c r="F154" s="1"/>
      <c r="G154" s="1"/>
    </row>
    <row r="155" spans="6:7" x14ac:dyDescent="0.3">
      <c r="F155" s="1"/>
      <c r="G155" s="1"/>
    </row>
    <row r="156" spans="6:7" x14ac:dyDescent="0.3">
      <c r="F156" s="1"/>
      <c r="G156" s="1"/>
    </row>
    <row r="157" spans="6:7" x14ac:dyDescent="0.3">
      <c r="F157" s="1"/>
      <c r="G157" s="1"/>
    </row>
    <row r="158" spans="6:7" x14ac:dyDescent="0.3">
      <c r="F158" s="1"/>
      <c r="G158" s="1"/>
    </row>
    <row r="159" spans="6:7" x14ac:dyDescent="0.3">
      <c r="F159" s="1"/>
      <c r="G159" s="1"/>
    </row>
    <row r="160" spans="6:7" x14ac:dyDescent="0.3">
      <c r="F160" s="1"/>
      <c r="G160" s="1"/>
    </row>
    <row r="161" spans="6:7" x14ac:dyDescent="0.3">
      <c r="F161" s="1"/>
      <c r="G161" s="1"/>
    </row>
    <row r="162" spans="6:7" x14ac:dyDescent="0.3">
      <c r="F162" s="1"/>
      <c r="G162" s="1"/>
    </row>
    <row r="163" spans="6:7" x14ac:dyDescent="0.3">
      <c r="F163" s="1"/>
      <c r="G163" s="1"/>
    </row>
    <row r="164" spans="6:7" x14ac:dyDescent="0.3">
      <c r="F164" s="1"/>
      <c r="G164" s="1"/>
    </row>
    <row r="165" spans="6:7" x14ac:dyDescent="0.3">
      <c r="F165" s="1"/>
      <c r="G165" s="1"/>
    </row>
    <row r="166" spans="6:7" x14ac:dyDescent="0.3">
      <c r="F166" s="1"/>
      <c r="G166" s="1"/>
    </row>
    <row r="167" spans="6:7" x14ac:dyDescent="0.3">
      <c r="F167" s="1"/>
      <c r="G167" s="1"/>
    </row>
    <row r="168" spans="6:7" x14ac:dyDescent="0.3">
      <c r="F168" s="1"/>
      <c r="G168" s="1"/>
    </row>
    <row r="169" spans="6:7" x14ac:dyDescent="0.3">
      <c r="F169" s="1"/>
      <c r="G169" s="1"/>
    </row>
    <row r="170" spans="6:7" x14ac:dyDescent="0.3">
      <c r="F170" s="1"/>
      <c r="G170" s="1"/>
    </row>
    <row r="171" spans="6:7" x14ac:dyDescent="0.3">
      <c r="F171" s="1"/>
      <c r="G171" s="1"/>
    </row>
    <row r="172" spans="6:7" x14ac:dyDescent="0.3">
      <c r="F172" s="1"/>
      <c r="G172" s="1"/>
    </row>
    <row r="173" spans="6:7" x14ac:dyDescent="0.3">
      <c r="F173" s="1"/>
      <c r="G173" s="1"/>
    </row>
    <row r="174" spans="6:7" x14ac:dyDescent="0.3">
      <c r="F174" s="1"/>
      <c r="G174" s="1"/>
    </row>
    <row r="175" spans="6:7" x14ac:dyDescent="0.3">
      <c r="F175" s="1"/>
      <c r="G175" s="1"/>
    </row>
    <row r="176" spans="6:7" x14ac:dyDescent="0.3">
      <c r="F176" s="1"/>
      <c r="G176" s="1"/>
    </row>
    <row r="177" spans="6:7" x14ac:dyDescent="0.3">
      <c r="F177" s="1"/>
      <c r="G177" s="1"/>
    </row>
    <row r="178" spans="6:7" x14ac:dyDescent="0.3">
      <c r="F178" s="1"/>
      <c r="G178" s="1"/>
    </row>
    <row r="179" spans="6:7" x14ac:dyDescent="0.3">
      <c r="F179" s="1"/>
      <c r="G179" s="1"/>
    </row>
    <row r="180" spans="6:7" x14ac:dyDescent="0.3">
      <c r="F180" s="1"/>
      <c r="G180" s="1"/>
    </row>
    <row r="181" spans="6:7" x14ac:dyDescent="0.3">
      <c r="F181" s="1"/>
      <c r="G181" s="1"/>
    </row>
    <row r="182" spans="6:7" x14ac:dyDescent="0.3">
      <c r="F182" s="1"/>
      <c r="G182" s="1"/>
    </row>
    <row r="183" spans="6:7" x14ac:dyDescent="0.3">
      <c r="F183" s="1"/>
      <c r="G183" s="1"/>
    </row>
    <row r="184" spans="6:7" x14ac:dyDescent="0.3">
      <c r="F184" s="1"/>
      <c r="G184" s="1"/>
    </row>
    <row r="185" spans="6:7" x14ac:dyDescent="0.3">
      <c r="F185" s="1"/>
      <c r="G185" s="1"/>
    </row>
    <row r="186" spans="6:7" x14ac:dyDescent="0.3">
      <c r="F186" s="1"/>
      <c r="G186" s="1"/>
    </row>
    <row r="187" spans="6:7" x14ac:dyDescent="0.3">
      <c r="F187" s="1"/>
      <c r="G187" s="1"/>
    </row>
    <row r="188" spans="6:7" x14ac:dyDescent="0.3">
      <c r="F188" s="1"/>
      <c r="G188" s="1"/>
    </row>
    <row r="189" spans="6:7" x14ac:dyDescent="0.3">
      <c r="F189" s="1"/>
      <c r="G189" s="1"/>
    </row>
    <row r="190" spans="6:7" x14ac:dyDescent="0.3">
      <c r="F190" s="1"/>
      <c r="G190" s="1"/>
    </row>
    <row r="191" spans="6:7" x14ac:dyDescent="0.3">
      <c r="F191" s="1"/>
      <c r="G191" s="1"/>
    </row>
    <row r="192" spans="6:7" x14ac:dyDescent="0.3">
      <c r="F192" s="1"/>
      <c r="G192" s="1"/>
    </row>
    <row r="193" spans="6:7" x14ac:dyDescent="0.3">
      <c r="F193" s="1"/>
      <c r="G193" s="1"/>
    </row>
    <row r="194" spans="6:7" x14ac:dyDescent="0.3">
      <c r="F194" s="1"/>
      <c r="G194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1"/>
      <c r="G197" s="1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  <c r="G200" s="1"/>
    </row>
    <row r="201" spans="6:7" x14ac:dyDescent="0.3">
      <c r="F201" s="1"/>
      <c r="G201" s="1"/>
    </row>
    <row r="202" spans="6:7" x14ac:dyDescent="0.3">
      <c r="F202" s="1"/>
      <c r="G202" s="1"/>
    </row>
    <row r="203" spans="6:7" x14ac:dyDescent="0.3">
      <c r="F203" s="1"/>
      <c r="G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6:7" x14ac:dyDescent="0.3">
      <c r="F209" s="1"/>
      <c r="G209" s="1"/>
    </row>
    <row r="210" spans="6:7" x14ac:dyDescent="0.3">
      <c r="F210" s="1"/>
      <c r="G210" s="1"/>
    </row>
    <row r="211" spans="6:7" x14ac:dyDescent="0.3">
      <c r="F211" s="1"/>
      <c r="G211" s="1"/>
    </row>
    <row r="212" spans="6:7" x14ac:dyDescent="0.3">
      <c r="F212" s="1"/>
      <c r="G212" s="1"/>
    </row>
    <row r="213" spans="6:7" x14ac:dyDescent="0.3">
      <c r="F213" s="1"/>
      <c r="G213" s="1"/>
    </row>
    <row r="214" spans="6:7" x14ac:dyDescent="0.3">
      <c r="F214" s="1"/>
      <c r="G214" s="1"/>
    </row>
    <row r="215" spans="6:7" x14ac:dyDescent="0.3">
      <c r="F215" s="1"/>
      <c r="G215" s="1"/>
    </row>
    <row r="216" spans="6:7" x14ac:dyDescent="0.3">
      <c r="F216" s="1"/>
      <c r="G216" s="1"/>
    </row>
    <row r="217" spans="6:7" x14ac:dyDescent="0.3">
      <c r="F217" s="1"/>
      <c r="G217" s="1"/>
    </row>
    <row r="218" spans="6:7" x14ac:dyDescent="0.3">
      <c r="F218" s="1"/>
      <c r="G218" s="1"/>
    </row>
    <row r="219" spans="6:7" x14ac:dyDescent="0.3">
      <c r="F219" s="1"/>
      <c r="G219" s="1"/>
    </row>
    <row r="220" spans="6:7" x14ac:dyDescent="0.3">
      <c r="F220" s="1"/>
      <c r="G220" s="1"/>
    </row>
    <row r="221" spans="6:7" x14ac:dyDescent="0.3">
      <c r="F221" s="1"/>
      <c r="G221" s="1"/>
    </row>
    <row r="222" spans="6:7" x14ac:dyDescent="0.3">
      <c r="F222" s="1"/>
      <c r="G222" s="1"/>
    </row>
    <row r="223" spans="6:7" x14ac:dyDescent="0.3">
      <c r="F223" s="1"/>
      <c r="G223" s="1"/>
    </row>
    <row r="224" spans="6:7" x14ac:dyDescent="0.3">
      <c r="F224" s="1"/>
      <c r="G224" s="1"/>
    </row>
    <row r="225" spans="6:7" x14ac:dyDescent="0.3">
      <c r="F225" s="1"/>
      <c r="G225" s="1"/>
    </row>
    <row r="226" spans="6:7" x14ac:dyDescent="0.3">
      <c r="F226" s="1"/>
      <c r="G226" s="1"/>
    </row>
    <row r="227" spans="6:7" x14ac:dyDescent="0.3">
      <c r="F227" s="1"/>
      <c r="G227" s="1"/>
    </row>
    <row r="228" spans="6:7" x14ac:dyDescent="0.3">
      <c r="F228" s="1"/>
      <c r="G228" s="1"/>
    </row>
    <row r="229" spans="6:7" x14ac:dyDescent="0.3">
      <c r="F229" s="1"/>
      <c r="G229" s="1"/>
    </row>
    <row r="230" spans="6:7" x14ac:dyDescent="0.3">
      <c r="F230" s="1"/>
      <c r="G230" s="1"/>
    </row>
    <row r="231" spans="6:7" x14ac:dyDescent="0.3">
      <c r="F231" s="1"/>
      <c r="G231" s="1"/>
    </row>
    <row r="232" spans="6:7" x14ac:dyDescent="0.3">
      <c r="F232" s="1"/>
      <c r="G232" s="1"/>
    </row>
    <row r="233" spans="6:7" x14ac:dyDescent="0.3">
      <c r="F233" s="1"/>
      <c r="G233" s="1"/>
    </row>
    <row r="234" spans="6:7" x14ac:dyDescent="0.3">
      <c r="F234" s="1"/>
      <c r="G234" s="1"/>
    </row>
    <row r="235" spans="6:7" x14ac:dyDescent="0.3">
      <c r="F235" s="1"/>
      <c r="G235" s="1"/>
    </row>
    <row r="236" spans="6:7" x14ac:dyDescent="0.3">
      <c r="F236" s="1"/>
      <c r="G236" s="1"/>
    </row>
    <row r="237" spans="6:7" x14ac:dyDescent="0.3">
      <c r="F237" s="1"/>
      <c r="G237" s="1"/>
    </row>
    <row r="238" spans="6:7" x14ac:dyDescent="0.3">
      <c r="F238" s="1"/>
      <c r="G238" s="1"/>
    </row>
    <row r="239" spans="6:7" x14ac:dyDescent="0.3">
      <c r="F239" s="1"/>
      <c r="G239" s="1"/>
    </row>
    <row r="240" spans="6:7" x14ac:dyDescent="0.3">
      <c r="F240" s="1"/>
      <c r="G240" s="1"/>
    </row>
    <row r="241" spans="6:7" x14ac:dyDescent="0.3">
      <c r="F241" s="1"/>
      <c r="G241" s="1"/>
    </row>
    <row r="242" spans="6:7" x14ac:dyDescent="0.3">
      <c r="F242" s="1"/>
      <c r="G242" s="1"/>
    </row>
    <row r="243" spans="6:7" x14ac:dyDescent="0.3">
      <c r="F243" s="1"/>
      <c r="G243" s="1"/>
    </row>
    <row r="244" spans="6:7" x14ac:dyDescent="0.3">
      <c r="F244" s="1"/>
      <c r="G244" s="1"/>
    </row>
    <row r="245" spans="6:7" x14ac:dyDescent="0.3">
      <c r="F245" s="1"/>
      <c r="G245" s="1"/>
    </row>
    <row r="246" spans="6:7" x14ac:dyDescent="0.3">
      <c r="F246" s="1"/>
      <c r="G246" s="1"/>
    </row>
    <row r="247" spans="6:7" x14ac:dyDescent="0.3">
      <c r="F247" s="1"/>
      <c r="G247" s="1"/>
    </row>
    <row r="248" spans="6:7" x14ac:dyDescent="0.3">
      <c r="F248" s="1"/>
      <c r="G248" s="1"/>
    </row>
    <row r="249" spans="6:7" x14ac:dyDescent="0.3">
      <c r="F249" s="1"/>
      <c r="G249" s="1"/>
    </row>
    <row r="250" spans="6:7" x14ac:dyDescent="0.3">
      <c r="F250" s="1"/>
      <c r="G250" s="1"/>
    </row>
    <row r="251" spans="6:7" x14ac:dyDescent="0.3">
      <c r="F251" s="1"/>
      <c r="G251" s="1"/>
    </row>
    <row r="252" spans="6:7" x14ac:dyDescent="0.3">
      <c r="F252" s="1"/>
      <c r="G252" s="1"/>
    </row>
    <row r="253" spans="6:7" x14ac:dyDescent="0.3">
      <c r="F253" s="1"/>
      <c r="G253" s="1"/>
    </row>
    <row r="254" spans="6:7" x14ac:dyDescent="0.3">
      <c r="F254" s="1"/>
      <c r="G254" s="1"/>
    </row>
    <row r="255" spans="6:7" x14ac:dyDescent="0.3">
      <c r="F255" s="1"/>
      <c r="G255" s="1"/>
    </row>
    <row r="256" spans="6:7" x14ac:dyDescent="0.3">
      <c r="F256" s="1"/>
      <c r="G256" s="1"/>
    </row>
    <row r="257" spans="6:7" x14ac:dyDescent="0.3">
      <c r="F257" s="1"/>
      <c r="G257" s="1"/>
    </row>
    <row r="258" spans="6:7" x14ac:dyDescent="0.3">
      <c r="F258" s="1"/>
      <c r="G258" s="1"/>
    </row>
    <row r="259" spans="6:7" x14ac:dyDescent="0.3">
      <c r="F259" s="1"/>
      <c r="G259" s="1"/>
    </row>
    <row r="260" spans="6:7" x14ac:dyDescent="0.3">
      <c r="F260" s="1"/>
      <c r="G260" s="1"/>
    </row>
    <row r="261" spans="6:7" x14ac:dyDescent="0.3">
      <c r="F261" s="1"/>
      <c r="G261" s="1"/>
    </row>
    <row r="262" spans="6:7" x14ac:dyDescent="0.3">
      <c r="F262" s="1"/>
      <c r="G262" s="1"/>
    </row>
    <row r="263" spans="6:7" x14ac:dyDescent="0.3">
      <c r="F263" s="1"/>
      <c r="G263" s="1"/>
    </row>
    <row r="264" spans="6:7" x14ac:dyDescent="0.3">
      <c r="F264" s="1"/>
      <c r="G264" s="1"/>
    </row>
    <row r="265" spans="6:7" x14ac:dyDescent="0.3">
      <c r="F265" s="1"/>
      <c r="G265" s="1"/>
    </row>
    <row r="266" spans="6:7" x14ac:dyDescent="0.3">
      <c r="F266" s="1"/>
      <c r="G266" s="1"/>
    </row>
    <row r="267" spans="6:7" x14ac:dyDescent="0.3">
      <c r="F267" s="1"/>
      <c r="G267" s="1"/>
    </row>
    <row r="268" spans="6:7" x14ac:dyDescent="0.3">
      <c r="F268" s="1"/>
      <c r="G268" s="1"/>
    </row>
    <row r="269" spans="6:7" x14ac:dyDescent="0.3">
      <c r="F269" s="1"/>
      <c r="G269" s="1"/>
    </row>
    <row r="270" spans="6:7" x14ac:dyDescent="0.3">
      <c r="F270" s="1"/>
      <c r="G270" s="1"/>
    </row>
    <row r="271" spans="6:7" x14ac:dyDescent="0.3">
      <c r="F271" s="1"/>
      <c r="G271" s="1"/>
    </row>
    <row r="272" spans="6:7" x14ac:dyDescent="0.3">
      <c r="F272" s="1"/>
      <c r="G272" s="1"/>
    </row>
    <row r="273" spans="6:7" x14ac:dyDescent="0.3">
      <c r="F273" s="1"/>
      <c r="G273" s="1"/>
    </row>
    <row r="274" spans="6:7" x14ac:dyDescent="0.3">
      <c r="F274" s="1"/>
      <c r="G274" s="1"/>
    </row>
    <row r="275" spans="6:7" x14ac:dyDescent="0.3">
      <c r="F275" s="1"/>
      <c r="G275" s="1"/>
    </row>
    <row r="276" spans="6:7" x14ac:dyDescent="0.3">
      <c r="F276" s="1"/>
      <c r="G276" s="1"/>
    </row>
    <row r="277" spans="6:7" x14ac:dyDescent="0.3">
      <c r="F277" s="1"/>
      <c r="G277" s="1"/>
    </row>
    <row r="278" spans="6:7" x14ac:dyDescent="0.3">
      <c r="F278" s="1"/>
      <c r="G278" s="1"/>
    </row>
    <row r="279" spans="6:7" x14ac:dyDescent="0.3">
      <c r="F279" s="1"/>
      <c r="G279" s="1"/>
    </row>
    <row r="280" spans="6:7" x14ac:dyDescent="0.3">
      <c r="F280" s="1"/>
      <c r="G280" s="1"/>
    </row>
    <row r="281" spans="6:7" x14ac:dyDescent="0.3">
      <c r="F281" s="1"/>
      <c r="G281" s="1"/>
    </row>
    <row r="282" spans="6:7" x14ac:dyDescent="0.3">
      <c r="F282" s="1"/>
      <c r="G282" s="1"/>
    </row>
    <row r="283" spans="6:7" x14ac:dyDescent="0.3">
      <c r="F283" s="1"/>
      <c r="G283" s="1"/>
    </row>
    <row r="284" spans="6:7" x14ac:dyDescent="0.3">
      <c r="F284" s="1"/>
      <c r="G284" s="1"/>
    </row>
    <row r="285" spans="6:7" x14ac:dyDescent="0.3">
      <c r="F285" s="1"/>
      <c r="G285" s="1"/>
    </row>
    <row r="286" spans="6:7" x14ac:dyDescent="0.3">
      <c r="F286" s="1"/>
      <c r="G286" s="1"/>
    </row>
    <row r="287" spans="6:7" x14ac:dyDescent="0.3">
      <c r="F287" s="1"/>
      <c r="G287" s="1"/>
    </row>
    <row r="288" spans="6:7" x14ac:dyDescent="0.3">
      <c r="F288" s="1"/>
      <c r="G288" s="1"/>
    </row>
    <row r="289" spans="6:7" x14ac:dyDescent="0.3">
      <c r="F289" s="1"/>
      <c r="G289" s="1"/>
    </row>
    <row r="290" spans="6:7" x14ac:dyDescent="0.3">
      <c r="F290" s="1"/>
      <c r="G290" s="1"/>
    </row>
    <row r="291" spans="6:7" x14ac:dyDescent="0.3">
      <c r="F291" s="1"/>
      <c r="G291" s="1"/>
    </row>
    <row r="292" spans="6:7" x14ac:dyDescent="0.3">
      <c r="F292" s="1"/>
      <c r="G292" s="1"/>
    </row>
    <row r="293" spans="6:7" x14ac:dyDescent="0.3">
      <c r="F293" s="1"/>
      <c r="G293" s="1"/>
    </row>
    <row r="294" spans="6:7" x14ac:dyDescent="0.3">
      <c r="F294" s="1"/>
      <c r="G294" s="1"/>
    </row>
    <row r="295" spans="6:7" x14ac:dyDescent="0.3">
      <c r="F295" s="1"/>
      <c r="G295" s="1"/>
    </row>
    <row r="296" spans="6:7" x14ac:dyDescent="0.3">
      <c r="F296" s="1"/>
      <c r="G296" s="1"/>
    </row>
    <row r="297" spans="6:7" x14ac:dyDescent="0.3">
      <c r="F297" s="1"/>
      <c r="G297" s="1"/>
    </row>
    <row r="298" spans="6:7" x14ac:dyDescent="0.3">
      <c r="F298" s="1"/>
      <c r="G298" s="1"/>
    </row>
    <row r="299" spans="6:7" x14ac:dyDescent="0.3">
      <c r="F299" s="1"/>
      <c r="G299" s="1"/>
    </row>
    <row r="300" spans="6:7" x14ac:dyDescent="0.3">
      <c r="F300" s="1"/>
      <c r="G300" s="1"/>
    </row>
    <row r="301" spans="6:7" x14ac:dyDescent="0.3">
      <c r="F301" s="1"/>
      <c r="G301" s="1"/>
    </row>
    <row r="302" spans="6:7" x14ac:dyDescent="0.3">
      <c r="F302" s="1"/>
      <c r="G302" s="1"/>
    </row>
    <row r="303" spans="6:7" x14ac:dyDescent="0.3">
      <c r="F303" s="1"/>
      <c r="G303" s="1"/>
    </row>
    <row r="304" spans="6:7" x14ac:dyDescent="0.3">
      <c r="F304" s="1"/>
      <c r="G304" s="1"/>
    </row>
    <row r="305" spans="6:7" x14ac:dyDescent="0.3">
      <c r="F305" s="1"/>
      <c r="G305" s="1"/>
    </row>
    <row r="306" spans="6:7" x14ac:dyDescent="0.3">
      <c r="F306" s="1"/>
      <c r="G306" s="1"/>
    </row>
    <row r="307" spans="6:7" x14ac:dyDescent="0.3">
      <c r="F307" s="1"/>
      <c r="G307" s="1"/>
    </row>
    <row r="308" spans="6:7" x14ac:dyDescent="0.3">
      <c r="F308" s="1"/>
      <c r="G308" s="1"/>
    </row>
    <row r="309" spans="6:7" x14ac:dyDescent="0.3">
      <c r="F309" s="1"/>
      <c r="G309" s="1"/>
    </row>
    <row r="310" spans="6:7" x14ac:dyDescent="0.3">
      <c r="F310" s="1"/>
      <c r="G310" s="1"/>
    </row>
    <row r="311" spans="6:7" x14ac:dyDescent="0.3">
      <c r="F311" s="1"/>
      <c r="G311" s="1"/>
    </row>
    <row r="312" spans="6:7" x14ac:dyDescent="0.3">
      <c r="F312" s="1"/>
      <c r="G312" s="1"/>
    </row>
    <row r="313" spans="6:7" x14ac:dyDescent="0.3">
      <c r="F313" s="1"/>
      <c r="G313" s="1"/>
    </row>
    <row r="314" spans="6:7" x14ac:dyDescent="0.3">
      <c r="F314" s="1"/>
      <c r="G314" s="1"/>
    </row>
    <row r="315" spans="6:7" x14ac:dyDescent="0.3">
      <c r="F315" s="1"/>
      <c r="G315" s="1"/>
    </row>
    <row r="316" spans="6:7" x14ac:dyDescent="0.3">
      <c r="F316" s="1"/>
      <c r="G316" s="1"/>
    </row>
    <row r="317" spans="6:7" x14ac:dyDescent="0.3">
      <c r="F317" s="1"/>
      <c r="G317" s="1"/>
    </row>
    <row r="318" spans="6:7" x14ac:dyDescent="0.3">
      <c r="F318" s="1"/>
      <c r="G318" s="1"/>
    </row>
    <row r="319" spans="6:7" x14ac:dyDescent="0.3">
      <c r="F319" s="1"/>
      <c r="G319" s="1"/>
    </row>
    <row r="320" spans="6:7" x14ac:dyDescent="0.3">
      <c r="F320" s="1"/>
      <c r="G320" s="1"/>
    </row>
    <row r="321" spans="6:7" x14ac:dyDescent="0.3">
      <c r="F321" s="1"/>
      <c r="G321" s="1"/>
    </row>
    <row r="322" spans="6:7" x14ac:dyDescent="0.3">
      <c r="F322" s="1"/>
      <c r="G322" s="1"/>
    </row>
    <row r="323" spans="6:7" x14ac:dyDescent="0.3">
      <c r="F323" s="1"/>
      <c r="G323" s="1"/>
    </row>
    <row r="324" spans="6:7" x14ac:dyDescent="0.3">
      <c r="F324" s="1"/>
      <c r="G324" s="1"/>
    </row>
    <row r="325" spans="6:7" x14ac:dyDescent="0.3">
      <c r="F325" s="1"/>
      <c r="G325" s="1"/>
    </row>
    <row r="326" spans="6:7" x14ac:dyDescent="0.3">
      <c r="F326" s="1"/>
      <c r="G326" s="1"/>
    </row>
    <row r="327" spans="6:7" x14ac:dyDescent="0.3">
      <c r="F327" s="1"/>
      <c r="G327" s="1"/>
    </row>
    <row r="328" spans="6:7" x14ac:dyDescent="0.3">
      <c r="F328" s="1"/>
      <c r="G328" s="1"/>
    </row>
    <row r="329" spans="6:7" x14ac:dyDescent="0.3">
      <c r="F329" s="1"/>
      <c r="G329" s="1"/>
    </row>
    <row r="330" spans="6:7" x14ac:dyDescent="0.3">
      <c r="F330" s="1"/>
      <c r="G330" s="1"/>
    </row>
    <row r="331" spans="6:7" x14ac:dyDescent="0.3">
      <c r="F331" s="1"/>
      <c r="G331" s="1"/>
    </row>
    <row r="332" spans="6:7" x14ac:dyDescent="0.3">
      <c r="F332" s="1"/>
      <c r="G332" s="1"/>
    </row>
    <row r="333" spans="6:7" x14ac:dyDescent="0.3">
      <c r="F333" s="1"/>
      <c r="G333" s="1"/>
    </row>
    <row r="334" spans="6:7" x14ac:dyDescent="0.3">
      <c r="F334" s="1"/>
      <c r="G334" s="1"/>
    </row>
    <row r="335" spans="6:7" x14ac:dyDescent="0.3">
      <c r="F335" s="1"/>
      <c r="G335" s="1"/>
    </row>
    <row r="336" spans="6:7" x14ac:dyDescent="0.3">
      <c r="F336" s="1"/>
      <c r="G336" s="1"/>
    </row>
    <row r="337" spans="6:7" x14ac:dyDescent="0.3">
      <c r="F337" s="1"/>
      <c r="G337" s="1"/>
    </row>
    <row r="338" spans="6:7" x14ac:dyDescent="0.3">
      <c r="F338" s="1"/>
      <c r="G338" s="1"/>
    </row>
    <row r="339" spans="6:7" x14ac:dyDescent="0.3">
      <c r="F339" s="1"/>
      <c r="G339" s="1"/>
    </row>
    <row r="340" spans="6:7" x14ac:dyDescent="0.3">
      <c r="F340" s="1"/>
      <c r="G340" s="1"/>
    </row>
    <row r="341" spans="6:7" x14ac:dyDescent="0.3">
      <c r="F341" s="1"/>
      <c r="G341" s="1"/>
    </row>
    <row r="342" spans="6:7" x14ac:dyDescent="0.3">
      <c r="F342" s="1"/>
      <c r="G342" s="1"/>
    </row>
    <row r="343" spans="6:7" x14ac:dyDescent="0.3">
      <c r="F343" s="1"/>
      <c r="G343" s="1"/>
    </row>
    <row r="344" spans="6:7" x14ac:dyDescent="0.3">
      <c r="F344" s="1"/>
      <c r="G344" s="1"/>
    </row>
    <row r="345" spans="6:7" x14ac:dyDescent="0.3">
      <c r="F345" s="1"/>
      <c r="G345" s="1"/>
    </row>
    <row r="346" spans="6:7" x14ac:dyDescent="0.3">
      <c r="F346" s="1"/>
      <c r="G346" s="1"/>
    </row>
    <row r="347" spans="6:7" x14ac:dyDescent="0.3">
      <c r="F347" s="1"/>
      <c r="G347" s="1"/>
    </row>
    <row r="348" spans="6:7" x14ac:dyDescent="0.3">
      <c r="F348" s="1"/>
      <c r="G348" s="1"/>
    </row>
    <row r="349" spans="6:7" x14ac:dyDescent="0.3">
      <c r="F349" s="1"/>
      <c r="G349" s="1"/>
    </row>
    <row r="350" spans="6:7" x14ac:dyDescent="0.3">
      <c r="F350" s="1"/>
      <c r="G350" s="1"/>
    </row>
    <row r="351" spans="6:7" x14ac:dyDescent="0.3">
      <c r="F351" s="1"/>
      <c r="G351" s="1"/>
    </row>
    <row r="352" spans="6:7" x14ac:dyDescent="0.3">
      <c r="F352" s="1"/>
      <c r="G352" s="1"/>
    </row>
    <row r="353" spans="6:7" x14ac:dyDescent="0.3">
      <c r="F353" s="1"/>
      <c r="G353" s="1"/>
    </row>
    <row r="354" spans="6:7" x14ac:dyDescent="0.3">
      <c r="F354" s="1"/>
      <c r="G354" s="1"/>
    </row>
    <row r="355" spans="6:7" x14ac:dyDescent="0.3">
      <c r="F355" s="1"/>
      <c r="G355" s="1"/>
    </row>
    <row r="356" spans="6:7" x14ac:dyDescent="0.3">
      <c r="F356" s="1"/>
      <c r="G356" s="1"/>
    </row>
    <row r="357" spans="6:7" x14ac:dyDescent="0.3">
      <c r="F357" s="1"/>
      <c r="G357" s="1"/>
    </row>
    <row r="358" spans="6:7" x14ac:dyDescent="0.3">
      <c r="F358" s="1"/>
      <c r="G358" s="1"/>
    </row>
    <row r="359" spans="6:7" x14ac:dyDescent="0.3">
      <c r="F359" s="1"/>
      <c r="G359" s="1"/>
    </row>
    <row r="360" spans="6:7" x14ac:dyDescent="0.3">
      <c r="F360" s="1"/>
      <c r="G360" s="1"/>
    </row>
    <row r="361" spans="6:7" x14ac:dyDescent="0.3">
      <c r="F361" s="1"/>
      <c r="G361" s="1"/>
    </row>
    <row r="362" spans="6:7" x14ac:dyDescent="0.3">
      <c r="F362" s="1"/>
      <c r="G362" s="1"/>
    </row>
    <row r="363" spans="6:7" x14ac:dyDescent="0.3">
      <c r="F363" s="1"/>
      <c r="G363" s="1"/>
    </row>
    <row r="364" spans="6:7" x14ac:dyDescent="0.3">
      <c r="F364" s="1"/>
      <c r="G364" s="1"/>
    </row>
    <row r="365" spans="6:7" x14ac:dyDescent="0.3">
      <c r="F365" s="1"/>
      <c r="G365" s="1"/>
    </row>
    <row r="366" spans="6:7" x14ac:dyDescent="0.3">
      <c r="F366" s="1"/>
      <c r="G366" s="1"/>
    </row>
    <row r="367" spans="6:7" x14ac:dyDescent="0.3">
      <c r="F367" s="1"/>
      <c r="G367" s="1"/>
    </row>
    <row r="368" spans="6:7" x14ac:dyDescent="0.3">
      <c r="F368" s="1"/>
      <c r="G368" s="1"/>
    </row>
    <row r="369" spans="6:7" x14ac:dyDescent="0.3">
      <c r="F369" s="1"/>
      <c r="G369" s="1"/>
    </row>
    <row r="370" spans="6:7" x14ac:dyDescent="0.3">
      <c r="F370" s="1"/>
      <c r="G370" s="1"/>
    </row>
    <row r="371" spans="6:7" x14ac:dyDescent="0.3">
      <c r="F371" s="1"/>
      <c r="G371" s="1"/>
    </row>
    <row r="372" spans="6:7" x14ac:dyDescent="0.3">
      <c r="F372" s="1"/>
      <c r="G372" s="1"/>
    </row>
    <row r="373" spans="6:7" x14ac:dyDescent="0.3">
      <c r="F373" s="1"/>
      <c r="G373" s="1"/>
    </row>
    <row r="374" spans="6:7" x14ac:dyDescent="0.3">
      <c r="F374" s="1"/>
      <c r="G374" s="1"/>
    </row>
    <row r="375" spans="6:7" x14ac:dyDescent="0.3">
      <c r="F375" s="1"/>
      <c r="G375" s="1"/>
    </row>
    <row r="376" spans="6:7" x14ac:dyDescent="0.3">
      <c r="F376" s="1"/>
      <c r="G376" s="1"/>
    </row>
    <row r="377" spans="6:7" x14ac:dyDescent="0.3">
      <c r="F377" s="1"/>
      <c r="G377" s="1"/>
    </row>
    <row r="378" spans="6:7" x14ac:dyDescent="0.3">
      <c r="F378" s="1"/>
      <c r="G378" s="1"/>
    </row>
    <row r="379" spans="6:7" x14ac:dyDescent="0.3">
      <c r="F379" s="1"/>
      <c r="G379" s="1"/>
    </row>
    <row r="380" spans="6:7" x14ac:dyDescent="0.3">
      <c r="F380" s="1"/>
      <c r="G380" s="1"/>
    </row>
    <row r="381" spans="6:7" x14ac:dyDescent="0.3">
      <c r="F381" s="1"/>
      <c r="G381" s="1"/>
    </row>
    <row r="382" spans="6:7" x14ac:dyDescent="0.3">
      <c r="F382" s="1"/>
      <c r="G382" s="1"/>
    </row>
    <row r="383" spans="6:7" x14ac:dyDescent="0.3">
      <c r="F383" s="1"/>
      <c r="G383" s="1"/>
    </row>
    <row r="384" spans="6:7" x14ac:dyDescent="0.3">
      <c r="F384" s="1"/>
      <c r="G384" s="1"/>
    </row>
    <row r="385" spans="6:7" x14ac:dyDescent="0.3">
      <c r="F385" s="1"/>
      <c r="G385" s="1"/>
    </row>
    <row r="386" spans="6:7" x14ac:dyDescent="0.3">
      <c r="F386" s="1"/>
      <c r="G386" s="1"/>
    </row>
    <row r="387" spans="6:7" x14ac:dyDescent="0.3">
      <c r="F387" s="1"/>
      <c r="G387" s="1"/>
    </row>
    <row r="388" spans="6:7" x14ac:dyDescent="0.3">
      <c r="F388" s="1"/>
      <c r="G388" s="1"/>
    </row>
    <row r="389" spans="6:7" x14ac:dyDescent="0.3">
      <c r="F389" s="1"/>
      <c r="G389" s="1"/>
    </row>
    <row r="390" spans="6:7" x14ac:dyDescent="0.3">
      <c r="F390" s="1"/>
      <c r="G390" s="1"/>
    </row>
    <row r="391" spans="6:7" x14ac:dyDescent="0.3">
      <c r="F391" s="1"/>
      <c r="G391" s="1"/>
    </row>
    <row r="392" spans="6:7" x14ac:dyDescent="0.3">
      <c r="F392" s="1"/>
      <c r="G392" s="1"/>
    </row>
    <row r="393" spans="6:7" x14ac:dyDescent="0.3">
      <c r="F393" s="1"/>
      <c r="G393" s="1"/>
    </row>
    <row r="394" spans="6:7" x14ac:dyDescent="0.3">
      <c r="F394" s="1"/>
      <c r="G394" s="1"/>
    </row>
    <row r="395" spans="6:7" x14ac:dyDescent="0.3">
      <c r="F395" s="1"/>
      <c r="G395" s="1"/>
    </row>
    <row r="396" spans="6:7" x14ac:dyDescent="0.3">
      <c r="F396" s="1"/>
      <c r="G396" s="1"/>
    </row>
    <row r="397" spans="6:7" x14ac:dyDescent="0.3">
      <c r="F397" s="1"/>
      <c r="G397" s="1"/>
    </row>
    <row r="398" spans="6:7" x14ac:dyDescent="0.3">
      <c r="F398" s="1"/>
      <c r="G398" s="1"/>
    </row>
    <row r="399" spans="6:7" x14ac:dyDescent="0.3">
      <c r="F399" s="1"/>
      <c r="G399" s="1"/>
    </row>
    <row r="400" spans="6:7" x14ac:dyDescent="0.3">
      <c r="F400" s="1"/>
      <c r="G400" s="1"/>
    </row>
    <row r="401" spans="6:7" x14ac:dyDescent="0.3">
      <c r="F401" s="1"/>
      <c r="G401" s="1"/>
    </row>
    <row r="402" spans="6:7" x14ac:dyDescent="0.3">
      <c r="F402" s="1"/>
      <c r="G402" s="1"/>
    </row>
    <row r="403" spans="6:7" x14ac:dyDescent="0.3">
      <c r="F403" s="1"/>
      <c r="G403" s="1"/>
    </row>
    <row r="404" spans="6:7" x14ac:dyDescent="0.3">
      <c r="F404" s="1"/>
      <c r="G404" s="1"/>
    </row>
    <row r="405" spans="6:7" x14ac:dyDescent="0.3">
      <c r="F405" s="1"/>
      <c r="G405" s="1"/>
    </row>
    <row r="406" spans="6:7" x14ac:dyDescent="0.3">
      <c r="F406" s="1"/>
      <c r="G406" s="1"/>
    </row>
    <row r="407" spans="6:7" x14ac:dyDescent="0.3">
      <c r="F407" s="1"/>
      <c r="G407" s="1"/>
    </row>
    <row r="408" spans="6:7" x14ac:dyDescent="0.3">
      <c r="F408" s="1"/>
      <c r="G408" s="1"/>
    </row>
    <row r="409" spans="6:7" x14ac:dyDescent="0.3">
      <c r="F409" s="1"/>
      <c r="G409" s="1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  <c r="G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  <c r="G440" s="1"/>
    </row>
    <row r="441" spans="6:7" x14ac:dyDescent="0.3">
      <c r="F441" s="1"/>
      <c r="G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  <c r="G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  <c r="G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  <c r="G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  <c r="G486" s="1"/>
    </row>
    <row r="487" spans="6:7" x14ac:dyDescent="0.3">
      <c r="F487" s="1"/>
      <c r="G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  <c r="G493" s="1"/>
    </row>
    <row r="494" spans="6:7" x14ac:dyDescent="0.3">
      <c r="F494" s="1"/>
      <c r="G494" s="1"/>
    </row>
    <row r="495" spans="6:7" x14ac:dyDescent="0.3">
      <c r="F495" s="1"/>
      <c r="G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  <c r="G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  <c r="G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  <c r="G526" s="1"/>
    </row>
    <row r="527" spans="6:7" x14ac:dyDescent="0.3">
      <c r="F527" s="1"/>
      <c r="G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  <c r="G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  <c r="G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  <c r="G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  <c r="G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  <c r="G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  <c r="G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  <c r="G590" s="1"/>
    </row>
    <row r="591" spans="6:7" x14ac:dyDescent="0.3">
      <c r="F591" s="1"/>
      <c r="G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  <c r="G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  <c r="G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  <c r="G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  <c r="G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  <c r="G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  <c r="G664" s="1"/>
    </row>
    <row r="665" spans="6:7" x14ac:dyDescent="0.3">
      <c r="F665" s="1"/>
      <c r="G665" s="1"/>
    </row>
    <row r="666" spans="6:7" x14ac:dyDescent="0.3">
      <c r="F666" s="1"/>
      <c r="G666" s="1"/>
    </row>
    <row r="667" spans="6:7" x14ac:dyDescent="0.3">
      <c r="F667" s="1"/>
      <c r="G667" s="1"/>
    </row>
    <row r="668" spans="6:7" x14ac:dyDescent="0.3">
      <c r="F668" s="1"/>
      <c r="G668" s="1"/>
    </row>
    <row r="669" spans="6:7" x14ac:dyDescent="0.3">
      <c r="F669" s="1"/>
      <c r="G669" s="1"/>
    </row>
    <row r="670" spans="6:7" x14ac:dyDescent="0.3">
      <c r="F670" s="1"/>
      <c r="G670" s="1"/>
    </row>
    <row r="671" spans="6:7" x14ac:dyDescent="0.3">
      <c r="F671" s="1"/>
      <c r="G671" s="1"/>
    </row>
    <row r="672" spans="6:7" x14ac:dyDescent="0.3">
      <c r="F672" s="1"/>
      <c r="G672" s="1"/>
    </row>
    <row r="673" spans="6:7" x14ac:dyDescent="0.3">
      <c r="F673" s="1"/>
      <c r="G673" s="1"/>
    </row>
    <row r="674" spans="6:7" x14ac:dyDescent="0.3">
      <c r="F674" s="1"/>
      <c r="G674" s="1"/>
    </row>
    <row r="675" spans="6:7" x14ac:dyDescent="0.3">
      <c r="F675" s="1"/>
      <c r="G675" s="1"/>
    </row>
  </sheetData>
  <mergeCells count="4">
    <mergeCell ref="A1:E5"/>
    <mergeCell ref="B6:C6"/>
    <mergeCell ref="D6:E6"/>
    <mergeCell ref="F6:G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71F7F-87E5-46F3-A157-C1E0AC008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output</vt:lpstr>
      <vt:lpstr>Zasięg a prękość początkowa</vt:lpstr>
      <vt:lpstr>Prekość końcowa a początkowa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Oleński</dc:creator>
  <cp:lastModifiedBy>Jan Oleński</cp:lastModifiedBy>
  <dcterms:created xsi:type="dcterms:W3CDTF">2015-06-05T18:17:20Z</dcterms:created>
  <dcterms:modified xsi:type="dcterms:W3CDTF">2026-01-07T15:52:55Z</dcterms:modified>
</cp:coreProperties>
</file>